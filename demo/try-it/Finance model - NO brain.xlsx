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venue" sheetId="2" r:id="rId2"/>
    <sheet name="P&amp;L" sheetId="3" r:id="rId3"/>
    <sheet name="Cash Flow" sheetId="4" r:id="rId4"/>
    <sheet name="Balance Sheet" sheetId="5" r:id="rId5"/>
  </sheets>
  <calcPr calcId="124519" fullCalcOnLoad="1"/>
</workbook>
</file>

<file path=xl/sharedStrings.xml><?xml version="1.0" encoding="utf-8"?>
<sst xmlns="http://schemas.openxmlformats.org/spreadsheetml/2006/main" count="90" uniqueCount="76">
  <si>
    <t>Inputs</t>
  </si>
  <si>
    <t>Monthly model, January 2026 to December 2028.</t>
  </si>
  <si>
    <t>Opening balance sheet</t>
  </si>
  <si>
    <t>Loaded cost per head, per month</t>
  </si>
  <si>
    <t>Headcount plan</t>
  </si>
  <si>
    <t>Starting MRR</t>
  </si>
  <si>
    <t>USD, January 2026</t>
  </si>
  <si>
    <t>Growth</t>
  </si>
  <si>
    <t>Monthly churn</t>
  </si>
  <si>
    <t>share of beginning MRR lost each month</t>
  </si>
  <si>
    <t>ARPA per month</t>
  </si>
  <si>
    <t>USD per customer</t>
  </si>
  <si>
    <t>CAC per new customer</t>
  </si>
  <si>
    <t>USD</t>
  </si>
  <si>
    <t>COGS % of revenue</t>
  </si>
  <si>
    <t>Fixed G&amp;A per month</t>
  </si>
  <si>
    <t>D&amp;A per month</t>
  </si>
  <si>
    <t>Capex per month</t>
  </si>
  <si>
    <t>Tax rate</t>
  </si>
  <si>
    <t>AR (months of revenue)</t>
  </si>
  <si>
    <t>net 30 terms</t>
  </si>
  <si>
    <t>AP (share of monthly costs)</t>
  </si>
  <si>
    <t>Opening cash</t>
  </si>
  <si>
    <t>Dec 31, 2025</t>
  </si>
  <si>
    <t>Opening AR</t>
  </si>
  <si>
    <t>Opening PP&amp;E, net</t>
  </si>
  <si>
    <t>Opening AP</t>
  </si>
  <si>
    <t>Opening paid-in capital</t>
  </si>
  <si>
    <t>Opening retained earnings</t>
  </si>
  <si>
    <t>balancing figure</t>
  </si>
  <si>
    <t>Engineering</t>
  </si>
  <si>
    <t>loaded cost per head per month</t>
  </si>
  <si>
    <t>Sales</t>
  </si>
  <si>
    <t>G&amp;A</t>
  </si>
  <si>
    <t>Revenue build (USD)</t>
  </si>
  <si>
    <t>Month</t>
  </si>
  <si>
    <t>Beginning MRR</t>
  </si>
  <si>
    <t>New MRR</t>
  </si>
  <si>
    <t>Churned MRR</t>
  </si>
  <si>
    <t>Ending MRR</t>
  </si>
  <si>
    <t>New customers</t>
  </si>
  <si>
    <t>P&amp;L (USD)</t>
  </si>
  <si>
    <t>Revenue</t>
  </si>
  <si>
    <t>COGS</t>
  </si>
  <si>
    <t>Gross Profit</t>
  </si>
  <si>
    <t>Sales &amp; Marketing</t>
  </si>
  <si>
    <t>R&amp;D</t>
  </si>
  <si>
    <t>Total OpEx</t>
  </si>
  <si>
    <t>EBITDA</t>
  </si>
  <si>
    <t>D&amp;A</t>
  </si>
  <si>
    <t>EBIT</t>
  </si>
  <si>
    <t>Taxes</t>
  </si>
  <si>
    <t>Net Income</t>
  </si>
  <si>
    <t>Cash Flow (USD)</t>
  </si>
  <si>
    <t>Change in AR</t>
  </si>
  <si>
    <t>Change in AP</t>
  </si>
  <si>
    <t>Cash from Operations</t>
  </si>
  <si>
    <t>Capex</t>
  </si>
  <si>
    <t>Cash from Investing</t>
  </si>
  <si>
    <t>Equity raised</t>
  </si>
  <si>
    <t>Cash from Financing</t>
  </si>
  <si>
    <t>Net Change in Cash</t>
  </si>
  <si>
    <t>Beginning Cash</t>
  </si>
  <si>
    <t>Ending Cash</t>
  </si>
  <si>
    <t>Balance Sheet (USD)</t>
  </si>
  <si>
    <t>Cash</t>
  </si>
  <si>
    <t>Accounts Receivable</t>
  </si>
  <si>
    <t>PP&amp;E, net</t>
  </si>
  <si>
    <t>Total Assets</t>
  </si>
  <si>
    <t>Accounts Payable</t>
  </si>
  <si>
    <t>Total Liabilities</t>
  </si>
  <si>
    <t>Paid-in Capital</t>
  </si>
  <si>
    <t>Retained Earnings</t>
  </si>
  <si>
    <t>Total Equity</t>
  </si>
  <si>
    <t>Total Liabilities &amp; Equity</t>
  </si>
  <si>
    <t>Balance Check</t>
  </si>
</sst>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mmm-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CE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4" fillId="2" borderId="1" xfId="0" applyNumberFormat="1" applyFont="1" applyFill="1" applyBorder="1"/>
    <xf numFmtId="1" fontId="0" fillId="0" borderId="0" xfId="0" applyNumberFormat="1"/>
    <xf numFmtId="16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cols>
    <col min="1" max="1" width="30.7109375" customWidth="1"/>
    <col min="2" max="2" width="12.7109375" customWidth="1"/>
    <col min="3" max="3" width="34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t="s">
        <v>5</v>
      </c>
      <c r="B3" s="3">
        <v>185000</v>
      </c>
      <c r="C3" s="2" t="s">
        <v>6</v>
      </c>
    </row>
    <row r="4" spans="1:3">
      <c r="A4" t="s">
        <v>7</v>
      </c>
      <c r="B4" s="4">
        <v>0.04</v>
      </c>
    </row>
    <row r="5" spans="1:3">
      <c r="A5" t="s">
        <v>8</v>
      </c>
      <c r="B5" s="4">
        <v>0.015</v>
      </c>
      <c r="C5" s="2" t="s">
        <v>9</v>
      </c>
    </row>
    <row r="6" spans="1:3">
      <c r="A6" t="s">
        <v>10</v>
      </c>
      <c r="B6" s="3">
        <v>650</v>
      </c>
      <c r="C6" s="2" t="s">
        <v>11</v>
      </c>
    </row>
    <row r="7" spans="1:3">
      <c r="A7" t="s">
        <v>12</v>
      </c>
      <c r="B7" s="3">
        <v>5200</v>
      </c>
      <c r="C7" s="2" t="s">
        <v>13</v>
      </c>
    </row>
    <row r="8" spans="1:3">
      <c r="A8" t="s">
        <v>14</v>
      </c>
      <c r="B8" s="4">
        <v>0.22</v>
      </c>
    </row>
    <row r="9" spans="1:3">
      <c r="A9" t="s">
        <v>15</v>
      </c>
      <c r="B9" s="3">
        <v>38000</v>
      </c>
      <c r="C9" s="2" t="s">
        <v>13</v>
      </c>
    </row>
    <row r="10" spans="1:3">
      <c r="A10" t="s">
        <v>16</v>
      </c>
      <c r="B10" s="3">
        <v>9000</v>
      </c>
      <c r="C10" s="2" t="s">
        <v>13</v>
      </c>
    </row>
    <row r="11" spans="1:3">
      <c r="A11" t="s">
        <v>17</v>
      </c>
      <c r="B11" s="3">
        <v>12000</v>
      </c>
      <c r="C11" s="2" t="s">
        <v>13</v>
      </c>
    </row>
    <row r="12" spans="1:3">
      <c r="A12" t="s">
        <v>18</v>
      </c>
      <c r="B12" s="4">
        <v>0.21</v>
      </c>
    </row>
    <row r="13" spans="1:3">
      <c r="A13" t="s">
        <v>19</v>
      </c>
      <c r="B13" s="3">
        <v>1</v>
      </c>
      <c r="C13" s="2" t="s">
        <v>20</v>
      </c>
    </row>
    <row r="14" spans="1:3">
      <c r="A14" t="s">
        <v>21</v>
      </c>
      <c r="B14" s="4">
        <v>0.5</v>
      </c>
    </row>
    <row r="16" spans="1:3">
      <c r="A16" s="5" t="s">
        <v>2</v>
      </c>
    </row>
    <row r="17" spans="1:37">
      <c r="A17" t="s">
        <v>22</v>
      </c>
      <c r="B17" s="3">
        <v>6200000</v>
      </c>
      <c r="C17" s="2" t="s">
        <v>23</v>
      </c>
    </row>
    <row r="18" spans="1:37">
      <c r="A18" t="s">
        <v>24</v>
      </c>
      <c r="B18" s="3">
        <v>181500</v>
      </c>
    </row>
    <row r="19" spans="1:37">
      <c r="A19" t="s">
        <v>25</v>
      </c>
      <c r="B19" s="3">
        <v>310000</v>
      </c>
    </row>
    <row r="20" spans="1:37">
      <c r="A20" t="s">
        <v>26</v>
      </c>
      <c r="B20" s="3">
        <v>98000</v>
      </c>
    </row>
    <row r="21" spans="1:37">
      <c r="A21" t="s">
        <v>27</v>
      </c>
      <c r="B21" s="3">
        <v>9500000</v>
      </c>
    </row>
    <row r="22" spans="1:37">
      <c r="A22" t="s">
        <v>28</v>
      </c>
      <c r="B22" s="3">
        <f>B17+B18+B19-B20-B21</f>
        <v>-2906500</v>
      </c>
      <c r="C22" s="2" t="s">
        <v>29</v>
      </c>
    </row>
    <row r="24" spans="1:37">
      <c r="A24" s="5" t="s">
        <v>3</v>
      </c>
    </row>
    <row r="25" spans="1:37">
      <c r="A25" t="s">
        <v>30</v>
      </c>
      <c r="B25" s="3">
        <v>13750</v>
      </c>
      <c r="C25" s="2" t="s">
        <v>31</v>
      </c>
    </row>
    <row r="26" spans="1:37">
      <c r="A26" t="s">
        <v>32</v>
      </c>
      <c r="B26" s="3">
        <v>10000</v>
      </c>
      <c r="C26" s="2" t="s">
        <v>31</v>
      </c>
    </row>
    <row r="27" spans="1:37">
      <c r="A27" t="s">
        <v>33</v>
      </c>
      <c r="B27" s="3">
        <v>9200</v>
      </c>
      <c r="C27" s="2" t="s">
        <v>31</v>
      </c>
    </row>
    <row r="29" spans="1:37">
      <c r="A29" s="5" t="s">
        <v>4</v>
      </c>
      <c r="B29" s="6">
        <v>46023</v>
      </c>
      <c r="C29" s="6">
        <v>46054</v>
      </c>
      <c r="D29" s="6">
        <v>46082</v>
      </c>
      <c r="E29" s="6">
        <v>46113</v>
      </c>
      <c r="F29" s="6">
        <v>46143</v>
      </c>
      <c r="G29" s="6">
        <v>46174</v>
      </c>
      <c r="H29" s="6">
        <v>46204</v>
      </c>
      <c r="I29" s="6">
        <v>46235</v>
      </c>
      <c r="J29" s="6">
        <v>46266</v>
      </c>
      <c r="K29" s="6">
        <v>46296</v>
      </c>
      <c r="L29" s="6">
        <v>46327</v>
      </c>
      <c r="M29" s="6">
        <v>46357</v>
      </c>
      <c r="N29" s="6">
        <v>46388</v>
      </c>
      <c r="O29" s="6">
        <v>46419</v>
      </c>
      <c r="P29" s="6">
        <v>46447</v>
      </c>
      <c r="Q29" s="6">
        <v>46478</v>
      </c>
      <c r="R29" s="6">
        <v>46508</v>
      </c>
      <c r="S29" s="6">
        <v>46539</v>
      </c>
      <c r="T29" s="6">
        <v>46569</v>
      </c>
      <c r="U29" s="6">
        <v>46600</v>
      </c>
      <c r="V29" s="6">
        <v>46631</v>
      </c>
      <c r="W29" s="6">
        <v>46661</v>
      </c>
      <c r="X29" s="6">
        <v>46692</v>
      </c>
      <c r="Y29" s="6">
        <v>46722</v>
      </c>
      <c r="Z29" s="6">
        <v>46753</v>
      </c>
      <c r="AA29" s="6">
        <v>46784</v>
      </c>
      <c r="AB29" s="6">
        <v>46813</v>
      </c>
      <c r="AC29" s="6">
        <v>46844</v>
      </c>
      <c r="AD29" s="6">
        <v>46874</v>
      </c>
      <c r="AE29" s="6">
        <v>46905</v>
      </c>
      <c r="AF29" s="6">
        <v>46935</v>
      </c>
      <c r="AG29" s="6">
        <v>46966</v>
      </c>
      <c r="AH29" s="6">
        <v>46997</v>
      </c>
      <c r="AI29" s="6">
        <v>47027</v>
      </c>
      <c r="AJ29" s="6">
        <v>47058</v>
      </c>
      <c r="AK29" s="6">
        <v>47088</v>
      </c>
    </row>
    <row r="30" spans="1:37">
      <c r="A30" t="s">
        <v>30</v>
      </c>
      <c r="B30" s="7">
        <v>18</v>
      </c>
      <c r="C30" s="7">
        <v>18</v>
      </c>
      <c r="D30" s="7">
        <v>19</v>
      </c>
      <c r="E30" s="7">
        <v>19</v>
      </c>
      <c r="F30" s="7">
        <v>20</v>
      </c>
      <c r="G30" s="7">
        <v>20</v>
      </c>
      <c r="H30" s="7">
        <v>21</v>
      </c>
      <c r="I30" s="7">
        <v>21</v>
      </c>
      <c r="J30" s="7">
        <v>22</v>
      </c>
      <c r="K30" s="7">
        <v>22</v>
      </c>
      <c r="L30" s="7">
        <v>23</v>
      </c>
      <c r="M30" s="7">
        <v>23</v>
      </c>
      <c r="N30" s="7">
        <v>23</v>
      </c>
      <c r="O30" s="7">
        <v>24</v>
      </c>
      <c r="P30" s="7">
        <v>24</v>
      </c>
      <c r="Q30" s="7">
        <v>25</v>
      </c>
      <c r="R30" s="7">
        <v>25</v>
      </c>
      <c r="S30" s="7">
        <v>26</v>
      </c>
      <c r="T30" s="7">
        <v>26</v>
      </c>
      <c r="U30" s="7">
        <v>27</v>
      </c>
      <c r="V30" s="7">
        <v>27</v>
      </c>
      <c r="W30" s="7">
        <v>28</v>
      </c>
      <c r="X30" s="7">
        <v>28</v>
      </c>
      <c r="Y30" s="7">
        <v>29</v>
      </c>
      <c r="Z30" s="7">
        <v>29</v>
      </c>
      <c r="AA30" s="7">
        <v>29</v>
      </c>
      <c r="AB30" s="7">
        <v>30</v>
      </c>
      <c r="AC30" s="7">
        <v>30</v>
      </c>
      <c r="AD30" s="7">
        <v>31</v>
      </c>
      <c r="AE30" s="7">
        <v>31</v>
      </c>
      <c r="AF30" s="7">
        <v>32</v>
      </c>
      <c r="AG30" s="7">
        <v>32</v>
      </c>
      <c r="AH30" s="7">
        <v>33</v>
      </c>
      <c r="AI30" s="7">
        <v>33</v>
      </c>
      <c r="AJ30" s="7">
        <v>34</v>
      </c>
      <c r="AK30" s="7">
        <v>34</v>
      </c>
    </row>
    <row r="31" spans="1:37">
      <c r="A31" t="s">
        <v>32</v>
      </c>
      <c r="B31" s="7">
        <v>8</v>
      </c>
      <c r="C31" s="7">
        <v>8</v>
      </c>
      <c r="D31" s="7">
        <v>9</v>
      </c>
      <c r="E31" s="7">
        <v>9</v>
      </c>
      <c r="F31" s="7">
        <v>9</v>
      </c>
      <c r="G31" s="7">
        <v>10</v>
      </c>
      <c r="H31" s="7">
        <v>10</v>
      </c>
      <c r="I31" s="7">
        <v>10</v>
      </c>
      <c r="J31" s="7">
        <v>11</v>
      </c>
      <c r="K31" s="7">
        <v>11</v>
      </c>
      <c r="L31" s="7">
        <v>11</v>
      </c>
      <c r="M31" s="7">
        <v>12</v>
      </c>
      <c r="N31" s="7">
        <v>12</v>
      </c>
      <c r="O31" s="7">
        <v>12</v>
      </c>
      <c r="P31" s="7">
        <v>13</v>
      </c>
      <c r="Q31" s="7">
        <v>13</v>
      </c>
      <c r="R31" s="7">
        <v>13</v>
      </c>
      <c r="S31" s="7">
        <v>14</v>
      </c>
      <c r="T31" s="7">
        <v>14</v>
      </c>
      <c r="U31" s="7">
        <v>15</v>
      </c>
      <c r="V31" s="7">
        <v>15</v>
      </c>
      <c r="W31" s="7">
        <v>15</v>
      </c>
      <c r="X31" s="7">
        <v>16</v>
      </c>
      <c r="Y31" s="7">
        <v>16</v>
      </c>
      <c r="Z31" s="7">
        <v>16</v>
      </c>
      <c r="AA31" s="7">
        <v>17</v>
      </c>
      <c r="AB31" s="7">
        <v>17</v>
      </c>
      <c r="AC31" s="7">
        <v>17</v>
      </c>
      <c r="AD31" s="7">
        <v>18</v>
      </c>
      <c r="AE31" s="7">
        <v>18</v>
      </c>
      <c r="AF31" s="7">
        <v>18</v>
      </c>
      <c r="AG31" s="7">
        <v>19</v>
      </c>
      <c r="AH31" s="7">
        <v>19</v>
      </c>
      <c r="AI31" s="7">
        <v>19</v>
      </c>
      <c r="AJ31" s="7">
        <v>20</v>
      </c>
      <c r="AK31" s="7">
        <v>20</v>
      </c>
    </row>
    <row r="32" spans="1:37">
      <c r="A32" t="s">
        <v>33</v>
      </c>
      <c r="B32" s="7">
        <v>5</v>
      </c>
      <c r="C32" s="7">
        <v>5</v>
      </c>
      <c r="D32" s="7">
        <v>5</v>
      </c>
      <c r="E32" s="7">
        <v>5</v>
      </c>
      <c r="F32" s="7">
        <v>5</v>
      </c>
      <c r="G32" s="7">
        <v>6</v>
      </c>
      <c r="H32" s="7">
        <v>6</v>
      </c>
      <c r="I32" s="7">
        <v>6</v>
      </c>
      <c r="J32" s="7">
        <v>6</v>
      </c>
      <c r="K32" s="7">
        <v>6</v>
      </c>
      <c r="L32" s="7">
        <v>6</v>
      </c>
      <c r="M32" s="7">
        <v>6</v>
      </c>
      <c r="N32" s="7">
        <v>6</v>
      </c>
      <c r="O32" s="7">
        <v>6</v>
      </c>
      <c r="P32" s="7">
        <v>7</v>
      </c>
      <c r="Q32" s="7">
        <v>7</v>
      </c>
      <c r="R32" s="7">
        <v>7</v>
      </c>
      <c r="S32" s="7">
        <v>7</v>
      </c>
      <c r="T32" s="7">
        <v>7</v>
      </c>
      <c r="U32" s="7">
        <v>7</v>
      </c>
      <c r="V32" s="7">
        <v>7</v>
      </c>
      <c r="W32" s="7">
        <v>7</v>
      </c>
      <c r="X32" s="7">
        <v>8</v>
      </c>
      <c r="Y32" s="7">
        <v>8</v>
      </c>
      <c r="Z32" s="7">
        <v>8</v>
      </c>
      <c r="AA32" s="7">
        <v>8</v>
      </c>
      <c r="AB32" s="7">
        <v>8</v>
      </c>
      <c r="AC32" s="7">
        <v>8</v>
      </c>
      <c r="AD32" s="7">
        <v>8</v>
      </c>
      <c r="AE32" s="7">
        <v>8</v>
      </c>
      <c r="AF32" s="7">
        <v>8</v>
      </c>
      <c r="AG32" s="7">
        <v>9</v>
      </c>
      <c r="AH32" s="7">
        <v>9</v>
      </c>
      <c r="AI32" s="7">
        <v>9</v>
      </c>
      <c r="AJ32" s="7">
        <v>9</v>
      </c>
      <c r="AK32" s="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37" width="12.7109375" customWidth="1"/>
  </cols>
  <sheetData>
    <row r="1" spans="1:37">
      <c r="A1" s="1" t="s">
        <v>34</v>
      </c>
    </row>
    <row r="2" spans="1:37">
      <c r="A2" s="6" t="s">
        <v>35</v>
      </c>
      <c r="B2" s="6">
        <v>46023</v>
      </c>
      <c r="C2" s="6">
        <v>46054</v>
      </c>
      <c r="D2" s="6">
        <v>46082</v>
      </c>
      <c r="E2" s="6">
        <v>46113</v>
      </c>
      <c r="F2" s="6">
        <v>46143</v>
      </c>
      <c r="G2" s="6">
        <v>46174</v>
      </c>
      <c r="H2" s="6">
        <v>46204</v>
      </c>
      <c r="I2" s="6">
        <v>46235</v>
      </c>
      <c r="J2" s="6">
        <v>46266</v>
      </c>
      <c r="K2" s="6">
        <v>46296</v>
      </c>
      <c r="L2" s="6">
        <v>46327</v>
      </c>
      <c r="M2" s="6">
        <v>46357</v>
      </c>
      <c r="N2" s="6">
        <v>46388</v>
      </c>
      <c r="O2" s="6">
        <v>46419</v>
      </c>
      <c r="P2" s="6">
        <v>46447</v>
      </c>
      <c r="Q2" s="6">
        <v>46478</v>
      </c>
      <c r="R2" s="6">
        <v>46508</v>
      </c>
      <c r="S2" s="6">
        <v>46539</v>
      </c>
      <c r="T2" s="6">
        <v>46569</v>
      </c>
      <c r="U2" s="6">
        <v>46600</v>
      </c>
      <c r="V2" s="6">
        <v>46631</v>
      </c>
      <c r="W2" s="6">
        <v>46661</v>
      </c>
      <c r="X2" s="6">
        <v>46692</v>
      </c>
      <c r="Y2" s="6">
        <v>46722</v>
      </c>
      <c r="Z2" s="6">
        <v>46753</v>
      </c>
      <c r="AA2" s="6">
        <v>46784</v>
      </c>
      <c r="AB2" s="6">
        <v>46813</v>
      </c>
      <c r="AC2" s="6">
        <v>46844</v>
      </c>
      <c r="AD2" s="6">
        <v>46874</v>
      </c>
      <c r="AE2" s="6">
        <v>46905</v>
      </c>
      <c r="AF2" s="6">
        <v>46935</v>
      </c>
      <c r="AG2" s="6">
        <v>46966</v>
      </c>
      <c r="AH2" s="6">
        <v>46997</v>
      </c>
      <c r="AI2" s="6">
        <v>47027</v>
      </c>
      <c r="AJ2" s="6">
        <v>47058</v>
      </c>
      <c r="AK2" s="6">
        <v>47088</v>
      </c>
    </row>
    <row r="4" spans="1:37">
      <c r="A4" t="s">
        <v>36</v>
      </c>
      <c r="B4" s="3">
        <v>185000</v>
      </c>
      <c r="C4" s="3">
        <v>188399</v>
      </c>
      <c r="D4" s="3">
        <v>194039</v>
      </c>
      <c r="E4" s="3">
        <v>199404</v>
      </c>
      <c r="F4" s="3">
        <v>202957</v>
      </c>
      <c r="G4" s="3">
        <v>209464</v>
      </c>
      <c r="H4" s="3">
        <v>216022</v>
      </c>
      <c r="I4" s="3">
        <v>220699</v>
      </c>
      <c r="J4" s="3">
        <f>I7</f>
        <v>226872</v>
      </c>
      <c r="K4" s="3">
        <f>J7</f>
        <v>232543.80000000002</v>
      </c>
      <c r="L4" s="3">
        <f>K7</f>
        <v>238357.39500000002</v>
      </c>
      <c r="M4" s="3">
        <f>L7</f>
        <v>244316.32987500002</v>
      </c>
      <c r="N4" s="3">
        <f>M7</f>
        <v>250424.238121875</v>
      </c>
      <c r="O4" s="3">
        <f>N7</f>
        <v>256684.8440749219</v>
      </c>
      <c r="P4" s="3">
        <f>O7</f>
        <v>263101.9651767949</v>
      </c>
      <c r="Q4" s="3">
        <f>P7</f>
        <v>269679.51430621475</v>
      </c>
      <c r="R4" s="3">
        <f>Q7</f>
        <v>276421.50216387014</v>
      </c>
      <c r="S4" s="3">
        <f>R7</f>
        <v>283332.03971796687</v>
      </c>
      <c r="T4" s="3">
        <f>S7</f>
        <v>290415.3407109161</v>
      </c>
      <c r="U4" s="3">
        <f>T7</f>
        <v>297675.724228689</v>
      </c>
      <c r="V4" s="3">
        <f>U7</f>
        <v>305117.6173344062</v>
      </c>
      <c r="W4" s="3">
        <f>V7</f>
        <v>312745.55776776635</v>
      </c>
      <c r="X4" s="3">
        <f>W7</f>
        <v>320564.19671196054</v>
      </c>
      <c r="Y4" s="3">
        <f>X7</f>
        <v>320564.19671196054</v>
      </c>
      <c r="Z4" s="3">
        <f>Y7</f>
        <v>328578.30162975955</v>
      </c>
      <c r="AA4" s="3">
        <f>Z7</f>
        <v>336792.7591705036</v>
      </c>
      <c r="AB4" s="3">
        <f>AA7</f>
        <v>345212.5781497662</v>
      </c>
      <c r="AC4" s="3">
        <f>AB7</f>
        <v>353842.89260351035</v>
      </c>
      <c r="AD4" s="3">
        <f>AC7</f>
        <v>362688.9649185981</v>
      </c>
      <c r="AE4" s="3">
        <f>AD7</f>
        <v>371756.1890415631</v>
      </c>
      <c r="AF4" s="3">
        <f>AE7</f>
        <v>381050.0937676022</v>
      </c>
      <c r="AG4" s="3">
        <f>AF7</f>
        <v>390576.34611179226</v>
      </c>
      <c r="AH4" s="3">
        <f>AG7</f>
        <v>400340.7547645871</v>
      </c>
      <c r="AI4" s="3">
        <f>AH7</f>
        <v>410349.2736337018</v>
      </c>
      <c r="AJ4" s="3">
        <f>AI7</f>
        <v>420608.00547454436</v>
      </c>
      <c r="AK4" s="3">
        <f>AJ7</f>
        <v>431123.205611408</v>
      </c>
    </row>
    <row r="5" spans="1:37">
      <c r="A5" t="s">
        <v>37</v>
      </c>
      <c r="B5" s="3">
        <v>6457</v>
      </c>
      <c r="C5" s="3">
        <v>8388</v>
      </c>
      <c r="D5" s="3">
        <v>8018</v>
      </c>
      <c r="E5" s="3">
        <v>7108</v>
      </c>
      <c r="F5" s="3">
        <v>8771</v>
      </c>
      <c r="G5" s="3">
        <v>9096</v>
      </c>
      <c r="H5" s="3">
        <v>7370</v>
      </c>
      <c r="I5" s="3">
        <v>8874</v>
      </c>
      <c r="J5" s="3">
        <f>J4*Inputs!$B$4</f>
        <v>9074.880000000001</v>
      </c>
      <c r="K5" s="3">
        <f>K4*Inputs!$B$4</f>
        <v>9301.752</v>
      </c>
      <c r="L5" s="3">
        <f>L4*Inputs!$B$4</f>
        <v>9534.295800000002</v>
      </c>
      <c r="M5" s="3">
        <f>M4*Inputs!$B$4</f>
        <v>9772.653195</v>
      </c>
      <c r="N5" s="3">
        <f>N4*Inputs!$B$4</f>
        <v>10016.969524875001</v>
      </c>
      <c r="O5" s="3">
        <f>O4*Inputs!$B$4</f>
        <v>10267.393762996875</v>
      </c>
      <c r="P5" s="3">
        <f>P4*Inputs!$B$4</f>
        <v>10524.078607071797</v>
      </c>
      <c r="Q5" s="3">
        <f>Q4*Inputs!$B$4</f>
        <v>10787.18057224859</v>
      </c>
      <c r="R5" s="3">
        <f>R4*Inputs!$B$4</f>
        <v>11056.860086554805</v>
      </c>
      <c r="S5" s="3">
        <f>S4*Inputs!$B$4</f>
        <v>11333.281588718675</v>
      </c>
      <c r="T5" s="3">
        <f>T4*Inputs!$B$4</f>
        <v>11616.613628436644</v>
      </c>
      <c r="U5" s="3">
        <f>U4*Inputs!$B$4</f>
        <v>11907.02896914756</v>
      </c>
      <c r="V5" s="3">
        <f>V4*Inputs!$B$4</f>
        <v>12204.704693376247</v>
      </c>
      <c r="W5" s="3">
        <f>W4*Inputs!$B$4</f>
        <v>12509.822310710655</v>
      </c>
      <c r="X5" s="3">
        <f>X4*Inputs!$B$5</f>
        <v>4808.462950679408</v>
      </c>
      <c r="Y5" s="3">
        <f>Y4*Inputs!$B$4</f>
        <v>12822.567868478422</v>
      </c>
      <c r="Z5" s="3">
        <f>Z4*Inputs!$B$4</f>
        <v>13143.132065190382</v>
      </c>
      <c r="AA5" s="3">
        <f>AA4*Inputs!$B$4</f>
        <v>13471.710366820143</v>
      </c>
      <c r="AB5" s="3">
        <f>AB4*Inputs!$B$4</f>
        <v>13808.503125990648</v>
      </c>
      <c r="AC5" s="3">
        <f>AC4*Inputs!$B$4</f>
        <v>14153.715704140413</v>
      </c>
      <c r="AD5" s="3">
        <f>AD4*Inputs!$B$4</f>
        <v>14507.558596743926</v>
      </c>
      <c r="AE5" s="3">
        <f>AE4*Inputs!$B$4</f>
        <v>14870.247561662523</v>
      </c>
      <c r="AF5" s="3">
        <f>AF4*Inputs!$B$4</f>
        <v>15242.003750704087</v>
      </c>
      <c r="AG5" s="3">
        <f>AG4*Inputs!$B$4</f>
        <v>15623.053844471691</v>
      </c>
      <c r="AH5" s="3">
        <f>AH4*Inputs!$B$4</f>
        <v>16013.630190583484</v>
      </c>
      <c r="AI5" s="3">
        <f>AI4*Inputs!$B$4</f>
        <v>16413.970945348072</v>
      </c>
      <c r="AJ5" s="3">
        <f>AJ4*Inputs!$B$4</f>
        <v>16824.320218981775</v>
      </c>
      <c r="AK5" s="3">
        <f>AK4*Inputs!$B$4</f>
        <v>17244.92822445632</v>
      </c>
    </row>
    <row r="6" spans="1:37">
      <c r="A6" t="s">
        <v>38</v>
      </c>
      <c r="B6" s="3">
        <v>3058</v>
      </c>
      <c r="C6" s="3">
        <v>2748</v>
      </c>
      <c r="D6" s="3">
        <v>2653</v>
      </c>
      <c r="E6" s="3">
        <v>3555</v>
      </c>
      <c r="F6" s="3">
        <v>2264</v>
      </c>
      <c r="G6" s="3">
        <v>2538</v>
      </c>
      <c r="H6" s="3">
        <v>2693</v>
      </c>
      <c r="I6" s="3">
        <v>2701</v>
      </c>
      <c r="J6" s="3">
        <f>J4*Inputs!$B$5</f>
        <v>3403.08</v>
      </c>
      <c r="K6" s="3">
        <f>K4*Inputs!$B$5</f>
        <v>3488.157</v>
      </c>
      <c r="L6" s="3">
        <f>L4*Inputs!$B$5</f>
        <v>3575.360925</v>
      </c>
      <c r="M6" s="3">
        <f>M4*Inputs!$B$5</f>
        <v>3664.744948125</v>
      </c>
      <c r="N6" s="3">
        <f>N4*Inputs!$B$5</f>
        <v>3756.363571828125</v>
      </c>
      <c r="O6" s="3">
        <f>O4*Inputs!$B$5</f>
        <v>3850.272661123828</v>
      </c>
      <c r="P6" s="3">
        <f>P4*Inputs!$B$5</f>
        <v>3946.5294776519236</v>
      </c>
      <c r="Q6" s="3">
        <f>Q4*Inputs!$B$5</f>
        <v>4045.1927145932214</v>
      </c>
      <c r="R6" s="3">
        <f>R4*Inputs!$B$5</f>
        <v>4146.322532458052</v>
      </c>
      <c r="S6" s="3">
        <f>S4*Inputs!$B$5</f>
        <v>4249.9805957695025</v>
      </c>
      <c r="T6" s="3">
        <f>T4*Inputs!$B$5</f>
        <v>4356.2301106637415</v>
      </c>
      <c r="U6" s="3">
        <f>U4*Inputs!$B$5</f>
        <v>4465.135863430334</v>
      </c>
      <c r="V6" s="3">
        <f>V4*Inputs!$B$5</f>
        <v>4576.7642600160925</v>
      </c>
      <c r="W6" s="3">
        <f>W4*Inputs!$B$5</f>
        <v>4691.183366516495</v>
      </c>
      <c r="X6" s="3">
        <f>X4*Inputs!$B$5</f>
        <v>4808.462950679408</v>
      </c>
      <c r="Y6" s="3">
        <f>Y4*Inputs!$B$5</f>
        <v>4808.462950679408</v>
      </c>
      <c r="Z6" s="3">
        <f>Z4*Inputs!$B$5</f>
        <v>4928.674524446393</v>
      </c>
      <c r="AA6" s="3">
        <f>AA4*Inputs!$B$5</f>
        <v>5051.891387557554</v>
      </c>
      <c r="AB6" s="3">
        <f>AB4*Inputs!$B$5</f>
        <v>5178.188672246492</v>
      </c>
      <c r="AC6" s="3">
        <f>AC4*Inputs!$B$5</f>
        <v>5307.643389052655</v>
      </c>
      <c r="AD6" s="3">
        <f>AD4*Inputs!$B$5</f>
        <v>5440.334473778972</v>
      </c>
      <c r="AE6" s="3">
        <f>AE4*Inputs!$B$5</f>
        <v>5576.342835623446</v>
      </c>
      <c r="AF6" s="3">
        <f>AF4*Inputs!$B$5</f>
        <v>5715.751406514032</v>
      </c>
      <c r="AG6" s="3">
        <f>AG4*Inputs!$B$5</f>
        <v>5858.645191676884</v>
      </c>
      <c r="AH6" s="3">
        <f>AH4*Inputs!$B$5</f>
        <v>6005.111321468807</v>
      </c>
      <c r="AI6" s="3">
        <f>AI4*Inputs!$B$5</f>
        <v>6155.2391045055265</v>
      </c>
      <c r="AJ6" s="3">
        <f>AJ4*Inputs!$B$5</f>
        <v>6309.120082118166</v>
      </c>
      <c r="AK6" s="3">
        <f>AK4*Inputs!$B$5</f>
        <v>6466.84808417112</v>
      </c>
    </row>
    <row r="7" spans="1:37">
      <c r="A7" t="s">
        <v>39</v>
      </c>
      <c r="B7" s="8">
        <f>B4+B5-B6</f>
        <v>188399</v>
      </c>
      <c r="C7" s="8">
        <f>C4+C5-C6</f>
        <v>194039</v>
      </c>
      <c r="D7" s="8">
        <f>D4+D5-D6</f>
        <v>199404</v>
      </c>
      <c r="E7" s="8">
        <f>E4+E5-E6</f>
        <v>202957</v>
      </c>
      <c r="F7" s="8">
        <f>F4+F5-F6</f>
        <v>209464</v>
      </c>
      <c r="G7" s="8">
        <f>G4+G5-G6</f>
        <v>216022</v>
      </c>
      <c r="H7" s="8">
        <f>H4+H5-H6</f>
        <v>220699</v>
      </c>
      <c r="I7" s="8">
        <f>I4+I5-I6</f>
        <v>226872</v>
      </c>
      <c r="J7" s="8">
        <f>J4+J5-J6</f>
        <v>232543.80000000002</v>
      </c>
      <c r="K7" s="8">
        <f>K4+K5-K6</f>
        <v>238357.39500000002</v>
      </c>
      <c r="L7" s="8">
        <f>L4+L5-L6</f>
        <v>244316.32987500002</v>
      </c>
      <c r="M7" s="8">
        <f>M4+M5-M6</f>
        <v>250424.238121875</v>
      </c>
      <c r="N7" s="8">
        <f>N4+N5-N6</f>
        <v>256684.8440749219</v>
      </c>
      <c r="O7" s="8">
        <f>O4+O5-O6</f>
        <v>263101.9651767949</v>
      </c>
      <c r="P7" s="8">
        <f>P4+P5-P6</f>
        <v>269679.51430621475</v>
      </c>
      <c r="Q7" s="8">
        <f>Q4+Q5-Q6</f>
        <v>276421.50216387014</v>
      </c>
      <c r="R7" s="8">
        <f>R4+R5-R6</f>
        <v>283332.03971796687</v>
      </c>
      <c r="S7" s="8">
        <f>S4+S5-S6</f>
        <v>290415.3407109161</v>
      </c>
      <c r="T7" s="8">
        <f>T4+T5-T6</f>
        <v>297675.724228689</v>
      </c>
      <c r="U7" s="8">
        <f>U4+U5-U6</f>
        <v>305117.6173344062</v>
      </c>
      <c r="V7" s="8">
        <f>V4+V5-V6</f>
        <v>312745.55776776635</v>
      </c>
      <c r="W7" s="8">
        <f>W4+W5-W6</f>
        <v>320564.19671196054</v>
      </c>
      <c r="X7" s="8">
        <f>X4+X5-X6</f>
        <v>320564.19671196054</v>
      </c>
      <c r="Y7" s="8">
        <f>Y4+Y5-Y6</f>
        <v>328578.30162975955</v>
      </c>
      <c r="Z7" s="8">
        <f>Z4+Z5-Z6</f>
        <v>336792.7591705036</v>
      </c>
      <c r="AA7" s="8">
        <f>AA4+AA5-AA6</f>
        <v>345212.5781497662</v>
      </c>
      <c r="AB7" s="8">
        <f>AB4+AB5-AB6</f>
        <v>353842.89260351035</v>
      </c>
      <c r="AC7" s="8">
        <f>AC4+AC5-AC6</f>
        <v>362688.9649185981</v>
      </c>
      <c r="AD7" s="8">
        <f>AD4+AD5-AD6</f>
        <v>371756.1890415631</v>
      </c>
      <c r="AE7" s="8">
        <f>AE4+AE5-AE6</f>
        <v>381050.0937676022</v>
      </c>
      <c r="AF7" s="8">
        <f>AF4+AF5-AF6</f>
        <v>390576.34611179226</v>
      </c>
      <c r="AG7" s="8">
        <f>AG4+AG5-AG6</f>
        <v>400340.7547645871</v>
      </c>
      <c r="AH7" s="8">
        <f>AH4+AH5-AH6</f>
        <v>410349.2736337018</v>
      </c>
      <c r="AI7" s="8">
        <f>AI4+AI5-AI6</f>
        <v>420608.00547454436</v>
      </c>
      <c r="AJ7" s="8">
        <f>AJ4+AJ5-AJ6</f>
        <v>431123.205611408</v>
      </c>
      <c r="AK7" s="8">
        <f>AK4+AK5-AK6</f>
        <v>441901.2857516932</v>
      </c>
    </row>
    <row r="8" spans="1:37">
      <c r="A8" t="s">
        <v>40</v>
      </c>
      <c r="B8" s="3">
        <v>10</v>
      </c>
      <c r="C8" s="3">
        <v>13</v>
      </c>
      <c r="D8" s="3">
        <v>12</v>
      </c>
      <c r="E8" s="3">
        <v>11</v>
      </c>
      <c r="F8" s="3">
        <v>13</v>
      </c>
      <c r="G8" s="3">
        <v>14</v>
      </c>
      <c r="H8" s="3">
        <v>11</v>
      </c>
      <c r="I8" s="3">
        <v>14</v>
      </c>
      <c r="J8" s="3">
        <f>J5/Inputs!$B$6</f>
        <v>13.961353846153848</v>
      </c>
      <c r="K8" s="3">
        <f>K5/Inputs!$B$6</f>
        <v>14.310387692307692</v>
      </c>
      <c r="L8" s="3">
        <f>L5/Inputs!$B$6</f>
        <v>14.668147384615388</v>
      </c>
      <c r="M8" s="3">
        <f>M5/Inputs!$B$6</f>
        <v>15.03485106923077</v>
      </c>
      <c r="N8" s="3">
        <f>N5/Inputs!$B$6</f>
        <v>15.41072234596154</v>
      </c>
      <c r="O8" s="3">
        <f>O5/Inputs!$B$6</f>
        <v>15.795990404610578</v>
      </c>
      <c r="P8" s="3">
        <f>P5/Inputs!$B$6</f>
        <v>16.19089016472584</v>
      </c>
      <c r="Q8" s="3">
        <f>Q5/Inputs!$B$6</f>
        <v>16.595662418843983</v>
      </c>
      <c r="R8" s="3">
        <f>R5/Inputs!$B$6</f>
        <v>17.010553979315084</v>
      </c>
      <c r="S8" s="3">
        <f>S5/Inputs!$B$6</f>
        <v>17.435817828797962</v>
      </c>
      <c r="T8" s="3">
        <f>T5/Inputs!$B$6</f>
        <v>17.871713274517912</v>
      </c>
      <c r="U8" s="3">
        <f>U5/Inputs!$B$6</f>
        <v>18.31850610638086</v>
      </c>
      <c r="V8" s="3">
        <f>V5/Inputs!$B$6</f>
        <v>18.77646875904038</v>
      </c>
      <c r="W8" s="3">
        <f>W5/Inputs!$B$6</f>
        <v>19.245880478016392</v>
      </c>
      <c r="X8" s="3">
        <f>X5/Inputs!$B$6</f>
        <v>7.397635308737551</v>
      </c>
      <c r="Y8" s="3">
        <f>Y5/Inputs!$B$6</f>
        <v>19.7270274899668</v>
      </c>
      <c r="Z8" s="3">
        <f>Z5/Inputs!$B$6</f>
        <v>20.22020317721597</v>
      </c>
      <c r="AA8" s="3">
        <f>AA5/Inputs!$B$6</f>
        <v>20.725708256646374</v>
      </c>
      <c r="AB8" s="3">
        <f>AB5/Inputs!$B$6</f>
        <v>21.243850963062535</v>
      </c>
      <c r="AC8" s="3">
        <f>AC5/Inputs!$B$6</f>
        <v>21.7749472371391</v>
      </c>
      <c r="AD8" s="3">
        <f>AD5/Inputs!$B$6</f>
        <v>22.31932091806758</v>
      </c>
      <c r="AE8" s="3">
        <f>AE5/Inputs!$B$6</f>
        <v>22.877303941019267</v>
      </c>
      <c r="AF8" s="3">
        <f>AF5/Inputs!$B$6</f>
        <v>23.44923653954475</v>
      </c>
      <c r="AG8" s="3">
        <f>AG5/Inputs!$B$6</f>
        <v>24.03546745303337</v>
      </c>
      <c r="AH8" s="3">
        <f>AH5/Inputs!$B$6</f>
        <v>24.636354139359206</v>
      </c>
      <c r="AI8" s="3">
        <f>AI5/Inputs!$B$6</f>
        <v>25.25226299284319</v>
      </c>
      <c r="AJ8" s="3">
        <f>AJ5/Inputs!$B$6</f>
        <v>25.883569567664267</v>
      </c>
      <c r="AK8" s="3">
        <f>AK5/Inputs!$B$6</f>
        <v>26.530658806855875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37" width="12.7109375" customWidth="1"/>
  </cols>
  <sheetData>
    <row r="1" spans="1:37">
      <c r="A1" s="1" t="s">
        <v>41</v>
      </c>
    </row>
    <row r="2" spans="1:37">
      <c r="A2" s="6" t="s">
        <v>35</v>
      </c>
      <c r="B2" s="6">
        <v>46023</v>
      </c>
      <c r="C2" s="6">
        <v>46054</v>
      </c>
      <c r="D2" s="6">
        <v>46082</v>
      </c>
      <c r="E2" s="6">
        <v>46113</v>
      </c>
      <c r="F2" s="6">
        <v>46143</v>
      </c>
      <c r="G2" s="6">
        <v>46174</v>
      </c>
      <c r="H2" s="6">
        <v>46204</v>
      </c>
      <c r="I2" s="6">
        <v>46235</v>
      </c>
      <c r="J2" s="6">
        <v>46266</v>
      </c>
      <c r="K2" s="6">
        <v>46296</v>
      </c>
      <c r="L2" s="6">
        <v>46327</v>
      </c>
      <c r="M2" s="6">
        <v>46357</v>
      </c>
      <c r="N2" s="6">
        <v>46388</v>
      </c>
      <c r="O2" s="6">
        <v>46419</v>
      </c>
      <c r="P2" s="6">
        <v>46447</v>
      </c>
      <c r="Q2" s="6">
        <v>46478</v>
      </c>
      <c r="R2" s="6">
        <v>46508</v>
      </c>
      <c r="S2" s="6">
        <v>46539</v>
      </c>
      <c r="T2" s="6">
        <v>46569</v>
      </c>
      <c r="U2" s="6">
        <v>46600</v>
      </c>
      <c r="V2" s="6">
        <v>46631</v>
      </c>
      <c r="W2" s="6">
        <v>46661</v>
      </c>
      <c r="X2" s="6">
        <v>46692</v>
      </c>
      <c r="Y2" s="6">
        <v>46722</v>
      </c>
      <c r="Z2" s="6">
        <v>46753</v>
      </c>
      <c r="AA2" s="6">
        <v>46784</v>
      </c>
      <c r="AB2" s="6">
        <v>46813</v>
      </c>
      <c r="AC2" s="6">
        <v>46844</v>
      </c>
      <c r="AD2" s="6">
        <v>46874</v>
      </c>
      <c r="AE2" s="6">
        <v>46905</v>
      </c>
      <c r="AF2" s="6">
        <v>46935</v>
      </c>
      <c r="AG2" s="6">
        <v>46966</v>
      </c>
      <c r="AH2" s="6">
        <v>46997</v>
      </c>
      <c r="AI2" s="6">
        <v>47027</v>
      </c>
      <c r="AJ2" s="6">
        <v>47058</v>
      </c>
      <c r="AK2" s="6">
        <v>47088</v>
      </c>
    </row>
    <row r="4" spans="1:37">
      <c r="A4" t="s">
        <v>42</v>
      </c>
      <c r="B4" s="3">
        <v>191756</v>
      </c>
      <c r="C4" s="3">
        <v>196164</v>
      </c>
      <c r="D4" s="3">
        <v>198653</v>
      </c>
      <c r="E4" s="3">
        <v>206350</v>
      </c>
      <c r="F4" s="3">
        <v>210722</v>
      </c>
      <c r="G4" s="3">
        <v>218234</v>
      </c>
      <c r="H4" s="3">
        <v>220543</v>
      </c>
      <c r="I4" s="3">
        <v>225613</v>
      </c>
      <c r="J4" s="3">
        <f>Revenue!J7</f>
        <v>232543.80000000002</v>
      </c>
      <c r="K4" s="3">
        <f>Revenue!K7</f>
        <v>238357.39500000002</v>
      </c>
      <c r="L4" s="3">
        <f>Revenue!L7</f>
        <v>244316.32987500002</v>
      </c>
      <c r="M4" s="3">
        <f>Revenue!M7</f>
        <v>250424.238121875</v>
      </c>
      <c r="N4" s="3">
        <f>Revenue!N7*1.07</f>
        <v>274652.7831601664</v>
      </c>
      <c r="O4" s="3">
        <f>Revenue!O7</f>
        <v>263101.9651767949</v>
      </c>
      <c r="P4" s="3">
        <f>Revenue!P7</f>
        <v>269679.51430621475</v>
      </c>
      <c r="Q4" s="3">
        <f>Revenue!Q7</f>
        <v>276421.50216387014</v>
      </c>
      <c r="R4" s="3">
        <f>Revenue!R7</f>
        <v>283332.03971796687</v>
      </c>
      <c r="S4" s="3">
        <f>Revenue!S7</f>
        <v>290415.3407109161</v>
      </c>
      <c r="T4" s="3">
        <f>Revenue!T7</f>
        <v>297675.724228689</v>
      </c>
      <c r="U4" s="3">
        <f>Revenue!U7</f>
        <v>305117.6173344062</v>
      </c>
      <c r="V4" s="3">
        <f>Revenue!V7</f>
        <v>312745.55776776635</v>
      </c>
      <c r="W4" s="3">
        <f>Revenue!W7</f>
        <v>320564.19671196054</v>
      </c>
      <c r="X4" s="3">
        <f>Revenue!X7</f>
        <v>320564.19671196054</v>
      </c>
      <c r="Y4" s="3">
        <f>Revenue!Y7</f>
        <v>328578.30162975955</v>
      </c>
      <c r="Z4" s="3">
        <f>Revenue!Z7</f>
        <v>336792.7591705036</v>
      </c>
      <c r="AA4" s="3">
        <f>Revenue!AA7</f>
        <v>345212.5781497662</v>
      </c>
      <c r="AB4" s="3">
        <f>Revenue!AB7</f>
        <v>353842.89260351035</v>
      </c>
      <c r="AC4" s="3">
        <f>Revenue!AC7</f>
        <v>362688.9649185981</v>
      </c>
      <c r="AD4" s="3">
        <f>Revenue!AD7</f>
        <v>371756.1890415631</v>
      </c>
      <c r="AE4" s="3">
        <f>Revenue!AE7</f>
        <v>381050.0937676022</v>
      </c>
      <c r="AF4" s="3">
        <f>Revenue!AF7</f>
        <v>390576.34611179226</v>
      </c>
      <c r="AG4" s="3">
        <f>Revenue!AG7</f>
        <v>400340.7547645871</v>
      </c>
      <c r="AH4" s="3">
        <f>Revenue!AH7</f>
        <v>410349.2736337018</v>
      </c>
      <c r="AI4" s="3">
        <f>Revenue!AI7</f>
        <v>420608.00547454436</v>
      </c>
      <c r="AJ4" s="3">
        <f>Revenue!AJ7</f>
        <v>431123.205611408</v>
      </c>
      <c r="AK4" s="3">
        <f>Revenue!AK7</f>
        <v>441901.2857516932</v>
      </c>
    </row>
    <row r="5" spans="1:37">
      <c r="A5" t="s">
        <v>43</v>
      </c>
      <c r="B5" s="3">
        <v>45184</v>
      </c>
      <c r="C5" s="3">
        <v>45327</v>
      </c>
      <c r="D5" s="3">
        <v>46649</v>
      </c>
      <c r="E5" s="3">
        <v>47125</v>
      </c>
      <c r="F5" s="3">
        <v>45960</v>
      </c>
      <c r="G5" s="3">
        <v>50431</v>
      </c>
      <c r="H5" s="3">
        <v>49609</v>
      </c>
      <c r="I5" s="3">
        <v>50163</v>
      </c>
      <c r="J5" s="3">
        <f>J4*Inputs!$B$8</f>
        <v>51159.636000000006</v>
      </c>
      <c r="K5" s="3">
        <f>K4*Inputs!$B$8</f>
        <v>52438.6269</v>
      </c>
      <c r="L5" s="3">
        <f>L4*Inputs!$B$8</f>
        <v>53749.592572500005</v>
      </c>
      <c r="M5" s="3">
        <f>M4*Inputs!$B$8</f>
        <v>55093.3323868125</v>
      </c>
      <c r="N5" s="3">
        <f>N4*Inputs!$B$8</f>
        <v>60423.61229523661</v>
      </c>
      <c r="O5" s="3">
        <f>O4*Inputs!$B$8</f>
        <v>57882.43233889488</v>
      </c>
      <c r="P5" s="3">
        <f>P4*Inputs!$B$8</f>
        <v>59329.49314736725</v>
      </c>
      <c r="Q5" s="3">
        <f>Q4*Inputs!$B$8</f>
        <v>60812.73047605143</v>
      </c>
      <c r="R5" s="3">
        <f>R4*Inputs!$B$8</f>
        <v>62333.04873795271</v>
      </c>
      <c r="S5" s="3">
        <f>S4*Inputs!$B$8</f>
        <v>63891.37495640154</v>
      </c>
      <c r="T5" s="3">
        <f>T4*Inputs!$B$8</f>
        <v>65488.65933031157</v>
      </c>
      <c r="U5" s="3">
        <f>U4*Inputs!$B$8</f>
        <v>67125.87581356936</v>
      </c>
      <c r="V5" s="3">
        <f>V4*Inputs!$B$8</f>
        <v>68804.0227089086</v>
      </c>
      <c r="W5" s="3">
        <f>W4*Inputs!$B$8</f>
        <v>70524.12327663132</v>
      </c>
      <c r="X5" s="3">
        <f>X4*Inputs!$B$8</f>
        <v>70524.12327663132</v>
      </c>
      <c r="Y5" s="3">
        <f>Y4*Inputs!$B$8</f>
        <v>72287.2263585471</v>
      </c>
      <c r="Z5" s="3">
        <f>Z4*Inputs!$B$8</f>
        <v>74094.40701751079</v>
      </c>
      <c r="AA5" s="3">
        <f>AA4*Inputs!$B$8</f>
        <v>75946.76719294857</v>
      </c>
      <c r="AB5" s="3">
        <f>AB4*Inputs!$B$8</f>
        <v>77845.43637277228</v>
      </c>
      <c r="AC5" s="3">
        <f>AC4*Inputs!$B$8</f>
        <v>79791.57228209158</v>
      </c>
      <c r="AD5" s="3">
        <f>AD4*Inputs!$B$8</f>
        <v>81786.36158914388</v>
      </c>
      <c r="AE5" s="3">
        <f>AE4*Inputs!$B$8</f>
        <v>83831.02062887247</v>
      </c>
      <c r="AF5" s="3">
        <f>AF4*Inputs!$B$8</f>
        <v>85926.7961445943</v>
      </c>
      <c r="AG5" s="3">
        <f>AG4*Inputs!$B$8</f>
        <v>88074.96604820916</v>
      </c>
      <c r="AH5" s="3">
        <f>AH4*Inputs!$B$8</f>
        <v>90276.8401994144</v>
      </c>
      <c r="AI5" s="3">
        <f>AI4*Inputs!$B$8</f>
        <v>92533.76120439977</v>
      </c>
      <c r="AJ5" s="3">
        <f>AJ4*Inputs!$B$8</f>
        <v>94847.10523450976</v>
      </c>
      <c r="AK5" s="3">
        <f>AK4*Inputs!$B$8</f>
        <v>97218.2828653725</v>
      </c>
    </row>
    <row r="6" spans="1:37">
      <c r="A6" t="s">
        <v>44</v>
      </c>
      <c r="B6" s="8">
        <f>B4-B5</f>
        <v>146572</v>
      </c>
      <c r="C6" s="8">
        <f>C4-C5</f>
        <v>150837</v>
      </c>
      <c r="D6" s="8">
        <f>D4-D5</f>
        <v>152004</v>
      </c>
      <c r="E6" s="8">
        <f>E4-E5</f>
        <v>159225</v>
      </c>
      <c r="F6" s="8">
        <f>F4-F5</f>
        <v>164762</v>
      </c>
      <c r="G6" s="8">
        <f>G4-G5</f>
        <v>167803</v>
      </c>
      <c r="H6" s="8">
        <f>H4-H5</f>
        <v>170934</v>
      </c>
      <c r="I6" s="8">
        <f>I4-I5</f>
        <v>175450</v>
      </c>
      <c r="J6" s="8">
        <f>J4-J5</f>
        <v>181384.16400000002</v>
      </c>
      <c r="K6" s="8">
        <f>K4-K5</f>
        <v>185918.76810000002</v>
      </c>
      <c r="L6" s="8">
        <f>L4-L5</f>
        <v>190566.73730250003</v>
      </c>
      <c r="M6" s="8">
        <f>M4-M5</f>
        <v>195330.9057350625</v>
      </c>
      <c r="N6" s="8">
        <f>N4-N5</f>
        <v>214229.1708649298</v>
      </c>
      <c r="O6" s="8">
        <f>O4-O5</f>
        <v>205219.53283790004</v>
      </c>
      <c r="P6" s="8">
        <f>P4-P5</f>
        <v>210350.0211588475</v>
      </c>
      <c r="Q6" s="8">
        <f>Q4-Q5</f>
        <v>215608.77168781872</v>
      </c>
      <c r="R6" s="8">
        <f>R4-R5</f>
        <v>220998.99098001415</v>
      </c>
      <c r="S6" s="8">
        <f>S4-S5</f>
        <v>226523.96575451456</v>
      </c>
      <c r="T6" s="8">
        <f>T4-T5</f>
        <v>232187.0648983774</v>
      </c>
      <c r="U6" s="8">
        <f>U4-U5</f>
        <v>237991.74152083683</v>
      </c>
      <c r="V6" s="8">
        <f>V4-V5</f>
        <v>243941.53505885776</v>
      </c>
      <c r="W6" s="8">
        <f>W4-W5</f>
        <v>250040.07343532922</v>
      </c>
      <c r="X6" s="8">
        <f>X4-X5</f>
        <v>250040.07343532922</v>
      </c>
      <c r="Y6" s="8">
        <f>Y4-Y5</f>
        <v>256291.07527121244</v>
      </c>
      <c r="Z6" s="8">
        <f>Z4-Z5</f>
        <v>262698.3521529928</v>
      </c>
      <c r="AA6" s="8">
        <f>AA4-AA5</f>
        <v>269265.81095681764</v>
      </c>
      <c r="AB6" s="8">
        <f>AB4-AB5</f>
        <v>275997.4562307381</v>
      </c>
      <c r="AC6" s="8">
        <f>AC4-AC5</f>
        <v>282897.3926365065</v>
      </c>
      <c r="AD6" s="8">
        <f>AD4-AD5</f>
        <v>289969.8274524192</v>
      </c>
      <c r="AE6" s="8">
        <f>AE4-AE5</f>
        <v>297219.07313872967</v>
      </c>
      <c r="AF6" s="8">
        <f>AF4-AF5</f>
        <v>304649.54996719793</v>
      </c>
      <c r="AG6" s="8">
        <f>AG4-AG5</f>
        <v>312265.7887163779</v>
      </c>
      <c r="AH6" s="8">
        <f>AH4-AH5</f>
        <v>320072.4334342874</v>
      </c>
      <c r="AI6" s="8">
        <f>AI4-AI5</f>
        <v>328074.2442701446</v>
      </c>
      <c r="AJ6" s="8">
        <f>AJ4-AJ5</f>
        <v>336276.10037689825</v>
      </c>
      <c r="AK6" s="8">
        <f>AK4-AK5</f>
        <v>344683.0028863207</v>
      </c>
    </row>
    <row r="7" spans="1:37">
      <c r="A7" t="s">
        <v>45</v>
      </c>
      <c r="B7" s="3">
        <v>132352</v>
      </c>
      <c r="C7" s="3">
        <v>143938</v>
      </c>
      <c r="D7" s="3">
        <v>159805</v>
      </c>
      <c r="E7" s="3">
        <v>146220</v>
      </c>
      <c r="F7" s="3">
        <v>152329</v>
      </c>
      <c r="G7" s="3">
        <v>184991</v>
      </c>
      <c r="H7" s="3">
        <v>164486</v>
      </c>
      <c r="I7" s="3">
        <v>169501</v>
      </c>
      <c r="J7" s="3">
        <f>Revenue!J8*Inputs!$B$7+Inputs!J31*Inputs!$B$26</f>
        <v>182599.04</v>
      </c>
      <c r="K7" s="3">
        <f>Revenue!K8*Inputs!$B$7+Inputs!K31*Inputs!$B$26</f>
        <v>184414.016</v>
      </c>
      <c r="L7" s="3">
        <f>Revenue!L8*Inputs!$B$7+Inputs!L31*Inputs!$B$26</f>
        <v>186274.3664</v>
      </c>
      <c r="M7" s="3">
        <f>Revenue!M8*Inputs!$B$7+Inputs!M31*Inputs!$B$26</f>
        <v>198181.22556</v>
      </c>
      <c r="N7" s="3">
        <f>Revenue!N8*Inputs!$B$7+Inputs!N31*Inputs!$B$26</f>
        <v>200135.756199</v>
      </c>
      <c r="O7" s="3">
        <f>Revenue!O8*Inputs!$B$7+Inputs!O31*Inputs!$B$26</f>
        <v>202139.150103975</v>
      </c>
      <c r="P7" s="3">
        <f>Revenue!P8*Inputs!$B$7+Inputs!P31*Inputs!$B$26</f>
        <v>214192.62885657436</v>
      </c>
      <c r="Q7" s="3">
        <f>Revenue!Q8*Inputs!$B$7+Inputs!Q31*Inputs!$B$26</f>
        <v>216297.4445779887</v>
      </c>
      <c r="R7" s="3">
        <f>Revenue!R8*Inputs!$B$7+Inputs!R31*Inputs!$B$26</f>
        <v>218454.88069243846</v>
      </c>
      <c r="S7" s="3">
        <f>Revenue!S8*Inputs!$B$7+Inputs!S31*Inputs!$B$26</f>
        <v>230666.2527097494</v>
      </c>
      <c r="T7" s="3">
        <f>Revenue!T8*Inputs!$B$7+Inputs!T31*Inputs!$B$26</f>
        <v>232932.90902749315</v>
      </c>
      <c r="U7" s="3">
        <f>Revenue!U8*Inputs!$B$7+Inputs!U31*Inputs!$B$26</f>
        <v>245256.23175318047</v>
      </c>
      <c r="V7" s="3">
        <f>Revenue!V8*Inputs!$B$7+Inputs!V31*Inputs!$B$26</f>
        <v>247637.63754700997</v>
      </c>
      <c r="W7" s="3">
        <f>Revenue!W8*Inputs!$B$7+Inputs!W31*Inputs!$B$26</f>
        <v>250078.57848568523</v>
      </c>
      <c r="X7" s="3">
        <f>Revenue!X8*Inputs!$B$7+Inputs!X31*Inputs!$B$26</f>
        <v>198467.70360543526</v>
      </c>
      <c r="Y7" s="3">
        <f>Revenue!Y8*Inputs!$B$7+Inputs!Y31*Inputs!$B$26</f>
        <v>262580.5429478274</v>
      </c>
      <c r="Z7" s="3">
        <f>Revenue!Z8*Inputs!$B$7+Inputs!Z31*Inputs!$B$26</f>
        <v>265145.05652152305</v>
      </c>
      <c r="AA7" s="3">
        <f>Revenue!AA8*Inputs!$B$7+Inputs!AA31*Inputs!$B$26</f>
        <v>277773.68293456116</v>
      </c>
      <c r="AB7" s="3">
        <f>Revenue!AB8*Inputs!$B$7+Inputs!AB31*Inputs!$B$26</f>
        <v>280468.0250079252</v>
      </c>
      <c r="AC7" s="3">
        <f>Revenue!AC8*Inputs!$B$7+Inputs!AC31*Inputs!$B$26</f>
        <v>283229.7256331233</v>
      </c>
      <c r="AD7" s="3">
        <f>Revenue!AD8*Inputs!$B$7+Inputs!AD31*Inputs!$B$26</f>
        <v>296060.4687739514</v>
      </c>
      <c r="AE7" s="3">
        <f>Revenue!AE8*Inputs!$B$7+Inputs!AE31*Inputs!$B$26</f>
        <v>298961.9804933002</v>
      </c>
      <c r="AF7" s="3">
        <f>Revenue!AF8*Inputs!$B$7+Inputs!AF31*Inputs!$B$26</f>
        <v>301936.03000563267</v>
      </c>
      <c r="AG7" s="3">
        <f>Revenue!AG8*Inputs!$B$7+Inputs!AG31*Inputs!$B$26</f>
        <v>314984.4307557735</v>
      </c>
      <c r="AH7" s="3">
        <f>Revenue!AH8*Inputs!$B$7+Inputs!AH31*Inputs!$B$26</f>
        <v>318109.0415246679</v>
      </c>
      <c r="AI7" s="3">
        <f>Revenue!AI8*Inputs!$B$7+Inputs!AI31*Inputs!$B$26</f>
        <v>321311.7675627846</v>
      </c>
      <c r="AJ7" s="3">
        <f>Revenue!AJ8*Inputs!$B$7+Inputs!AJ31*Inputs!$B$26</f>
        <v>334594.5617518542</v>
      </c>
      <c r="AK7" s="3">
        <f>Revenue!AK8*Inputs!$B$7+Inputs!AK31*Inputs!$B$26</f>
        <v>337959.4257956506</v>
      </c>
    </row>
    <row r="8" spans="1:37">
      <c r="A8" t="s">
        <v>46</v>
      </c>
      <c r="B8" s="3">
        <v>243207</v>
      </c>
      <c r="C8" s="3">
        <v>254427</v>
      </c>
      <c r="D8" s="3">
        <v>268537</v>
      </c>
      <c r="E8" s="3">
        <v>262563</v>
      </c>
      <c r="F8" s="3">
        <v>282473</v>
      </c>
      <c r="G8" s="3">
        <v>271772</v>
      </c>
      <c r="H8" s="3">
        <v>280503</v>
      </c>
      <c r="I8" s="3">
        <v>296530</v>
      </c>
      <c r="J8" s="3">
        <f>Inputs!J30*Inputs!$B$25</f>
        <v>302500</v>
      </c>
      <c r="K8" s="3">
        <f>Inputs!K30*Inputs!$B$25</f>
        <v>302500</v>
      </c>
      <c r="L8" s="3">
        <f>Inputs!L30*Inputs!$B$25</f>
        <v>316250</v>
      </c>
      <c r="M8" s="3">
        <f>Inputs!M30*Inputs!$B$25</f>
        <v>316250</v>
      </c>
      <c r="N8" s="3">
        <f>Inputs!N30*Inputs!$B$25</f>
        <v>316250</v>
      </c>
      <c r="O8" s="3">
        <f>Inputs!O30*Inputs!$B$25</f>
        <v>330000</v>
      </c>
      <c r="P8" s="3">
        <f>Inputs!P30*Inputs!$B$25</f>
        <v>330000</v>
      </c>
      <c r="Q8" s="3">
        <f>Inputs!Q30*Inputs!$B$25</f>
        <v>343750</v>
      </c>
      <c r="R8" s="3">
        <f>Inputs!R30*Inputs!$B$25</f>
        <v>343750</v>
      </c>
      <c r="S8" s="3">
        <f>Inputs!S30*Inputs!$B$25</f>
        <v>357500</v>
      </c>
      <c r="T8" s="3">
        <f>Inputs!T30*Inputs!$B$25</f>
        <v>357500</v>
      </c>
      <c r="U8" s="3">
        <f>Inputs!U30*Inputs!$B$25</f>
        <v>371250</v>
      </c>
      <c r="V8" s="3">
        <f>Inputs!V30*Inputs!$B$25</f>
        <v>371250</v>
      </c>
      <c r="W8" s="3">
        <f>Inputs!W30*Inputs!$B$25</f>
        <v>385000</v>
      </c>
      <c r="X8" s="3">
        <f>Inputs!X30*Inputs!$B$25</f>
        <v>385000</v>
      </c>
      <c r="Y8" s="3">
        <f>Inputs!Y30*Inputs!$B$25</f>
        <v>398750</v>
      </c>
      <c r="Z8" s="3">
        <f>Inputs!Z30*Inputs!$B$25</f>
        <v>398750</v>
      </c>
      <c r="AA8" s="3">
        <f>Inputs!AA30*Inputs!$B$25</f>
        <v>398750</v>
      </c>
      <c r="AB8" s="3">
        <f>Inputs!AB30*Inputs!$B$25</f>
        <v>412500</v>
      </c>
      <c r="AC8" s="3">
        <f>Inputs!AC30*Inputs!$B$25</f>
        <v>412500</v>
      </c>
      <c r="AD8" s="3">
        <f>Inputs!AD30*Inputs!$B$25</f>
        <v>426250</v>
      </c>
      <c r="AE8" s="3">
        <f>Inputs!AE30*Inputs!$B$25</f>
        <v>426250</v>
      </c>
      <c r="AF8" s="3">
        <f>Inputs!AF30*Inputs!$B$25</f>
        <v>440000</v>
      </c>
      <c r="AG8" s="3">
        <f>Inputs!AG30*Inputs!$B$25</f>
        <v>440000</v>
      </c>
      <c r="AH8" s="3">
        <f>Inputs!AH30*Inputs!$B$25</f>
        <v>453750</v>
      </c>
      <c r="AI8" s="3">
        <f>Inputs!AI30*Inputs!$B$25</f>
        <v>453750</v>
      </c>
      <c r="AJ8" s="3">
        <f>Inputs!AJ30*Inputs!$B$25</f>
        <v>467500</v>
      </c>
      <c r="AK8" s="3">
        <f>Inputs!AK30*Inputs!$B$25</f>
        <v>467500</v>
      </c>
    </row>
    <row r="9" spans="1:37">
      <c r="A9" t="s">
        <v>33</v>
      </c>
      <c r="B9" s="3">
        <v>80387</v>
      </c>
      <c r="C9" s="3">
        <v>89891</v>
      </c>
      <c r="D9" s="3">
        <v>82653</v>
      </c>
      <c r="E9" s="3">
        <v>86168</v>
      </c>
      <c r="F9" s="3">
        <v>85811</v>
      </c>
      <c r="G9" s="3">
        <v>98921</v>
      </c>
      <c r="H9" s="3">
        <v>89608</v>
      </c>
      <c r="I9" s="3">
        <v>95530</v>
      </c>
      <c r="J9" s="3">
        <f>Inputs!J32*Inputs!$B$27+Inputs!$B$9</f>
        <v>93200</v>
      </c>
      <c r="K9" s="3">
        <f>Inputs!K32*Inputs!$B$27+Inputs!$B$9</f>
        <v>93200</v>
      </c>
      <c r="L9" s="3">
        <f>Inputs!L32*Inputs!$B$27+Inputs!$B$9</f>
        <v>93200</v>
      </c>
      <c r="M9" s="3">
        <f>Inputs!M32*Inputs!$B$27+Inputs!$B$9</f>
        <v>93200</v>
      </c>
      <c r="N9" s="3">
        <f>Inputs!N32*Inputs!$B$27+Inputs!$B$9</f>
        <v>93200</v>
      </c>
      <c r="O9" s="3">
        <f>Inputs!O32*Inputs!$B$27+Inputs!$B$9</f>
        <v>93200</v>
      </c>
      <c r="P9" s="3">
        <f>Inputs!P32*Inputs!$B$27+Inputs!$B$9</f>
        <v>102400</v>
      </c>
      <c r="Q9" s="3">
        <f>Inputs!Q32*Inputs!$B$27+Inputs!$B$9</f>
        <v>102400</v>
      </c>
      <c r="R9" s="3">
        <f>Inputs!R32*Inputs!$B$27+Inputs!$B$9</f>
        <v>102400</v>
      </c>
      <c r="S9" s="3">
        <f>Inputs!S32*Inputs!$B$27+Inputs!$B$9</f>
        <v>102400</v>
      </c>
      <c r="T9" s="3">
        <f>Inputs!T32*Inputs!$B$27+Inputs!$B$9</f>
        <v>102400</v>
      </c>
      <c r="U9" s="3">
        <f>Inputs!U32*Inputs!$B$27+Inputs!$B$9</f>
        <v>102400</v>
      </c>
      <c r="V9" s="3">
        <f>Inputs!V32*Inputs!$B$27+Inputs!$B$9</f>
        <v>102400</v>
      </c>
      <c r="W9" s="3">
        <f>Inputs!W32*Inputs!$B$27+Inputs!$B$9</f>
        <v>102400</v>
      </c>
      <c r="X9" s="3">
        <f>Inputs!X32*Inputs!$B$27+Inputs!$B$9</f>
        <v>111600</v>
      </c>
      <c r="Y9" s="3">
        <f>Inputs!Y32*Inputs!$B$27+Inputs!$B$9</f>
        <v>111600</v>
      </c>
      <c r="Z9" s="3">
        <f>Inputs!Z32*Inputs!$B$27+Inputs!$B$9</f>
        <v>111600</v>
      </c>
      <c r="AA9" s="3">
        <f>Inputs!AA32*Inputs!$B$27+Inputs!$B$9</f>
        <v>111600</v>
      </c>
      <c r="AB9" s="3">
        <f>Inputs!AB32*Inputs!$B$27</f>
        <v>73600</v>
      </c>
      <c r="AC9" s="3">
        <f>Inputs!AC32*Inputs!$B$27+Inputs!$B$9</f>
        <v>111600</v>
      </c>
      <c r="AD9" s="3">
        <f>Inputs!AD32*Inputs!$B$27+Inputs!$B$9</f>
        <v>111600</v>
      </c>
      <c r="AE9" s="3">
        <f>Inputs!AE32*Inputs!$B$27+Inputs!$B$9</f>
        <v>111600</v>
      </c>
      <c r="AF9" s="3">
        <f>Inputs!AF32*Inputs!$B$27+Inputs!$B$9</f>
        <v>111600</v>
      </c>
      <c r="AG9" s="3">
        <f>Inputs!AG32*Inputs!$B$27+Inputs!$B$9</f>
        <v>120800</v>
      </c>
      <c r="AH9" s="3">
        <f>Inputs!AH32*Inputs!$B$27+Inputs!$B$9</f>
        <v>120800</v>
      </c>
      <c r="AI9" s="3">
        <f>Inputs!AI32*Inputs!$B$27+Inputs!$B$9</f>
        <v>120800</v>
      </c>
      <c r="AJ9" s="3">
        <f>Inputs!AJ32*Inputs!$B$27+Inputs!$B$9</f>
        <v>120800</v>
      </c>
      <c r="AK9" s="3">
        <f>Inputs!AK32*Inputs!$B$27+Inputs!$B$9</f>
        <v>120800</v>
      </c>
    </row>
    <row r="10" spans="1:37">
      <c r="A10" t="s">
        <v>47</v>
      </c>
      <c r="B10" s="8">
        <f>SUM(B7:B9)</f>
        <v>455946</v>
      </c>
      <c r="C10" s="8">
        <f>SUM(C7:C9)</f>
        <v>488256</v>
      </c>
      <c r="D10" s="8">
        <f>SUM(D7:D9)</f>
        <v>510995</v>
      </c>
      <c r="E10" s="8">
        <f>SUM(E7:E9)</f>
        <v>494951</v>
      </c>
      <c r="F10" s="8">
        <f>SUM(F7:F9)</f>
        <v>520613</v>
      </c>
      <c r="G10" s="8">
        <f>SUM(G7:G9)</f>
        <v>555684</v>
      </c>
      <c r="H10" s="8">
        <f>SUM(H7:H9)</f>
        <v>534597</v>
      </c>
      <c r="I10" s="8">
        <f>SUM(I7:I9)</f>
        <v>561561</v>
      </c>
      <c r="J10" s="8">
        <f>SUM(J7:J9)</f>
        <v>578299.04</v>
      </c>
      <c r="K10" s="8">
        <f>SUM(K7:K9)</f>
        <v>580114.0160000001</v>
      </c>
      <c r="L10" s="8">
        <f>SUM(L7:L9)</f>
        <v>595724.3663999999</v>
      </c>
      <c r="M10" s="8">
        <f>SUM(M7:M9)</f>
        <v>607631.2255599999</v>
      </c>
      <c r="N10" s="8">
        <f>SUM(N7:N9)</f>
        <v>609585.7561989999</v>
      </c>
      <c r="O10" s="8">
        <f>SUM(O7:O9)</f>
        <v>625339.150103975</v>
      </c>
      <c r="P10" s="8">
        <f>SUM(P7:P9)</f>
        <v>646592.6288565744</v>
      </c>
      <c r="Q10" s="8">
        <f>SUM(Q7:Q9)</f>
        <v>662447.4445779887</v>
      </c>
      <c r="R10" s="8">
        <f>SUM(R7:R9)</f>
        <v>664604.8806924385</v>
      </c>
      <c r="S10" s="8">
        <f>SUM(S7:S9)</f>
        <v>690566.2527097494</v>
      </c>
      <c r="T10" s="8">
        <f>SUM(T7:T9)</f>
        <v>692832.9090274931</v>
      </c>
      <c r="U10" s="8">
        <f>SUM(U7:U9)</f>
        <v>718906.2317531805</v>
      </c>
      <c r="V10" s="8">
        <f>SUM(V7:V9)</f>
        <v>721287.63754701</v>
      </c>
      <c r="W10" s="8">
        <f>SUM(W7:W9)</f>
        <v>737478.5784856852</v>
      </c>
      <c r="X10" s="8">
        <f>SUM(X7:X9)</f>
        <v>695067.7036054353</v>
      </c>
      <c r="Y10" s="8">
        <f>SUM(Y7:Y9)</f>
        <v>772930.5429478274</v>
      </c>
      <c r="Z10" s="8">
        <f>SUM(Z7:Z9)</f>
        <v>775495.056521523</v>
      </c>
      <c r="AA10" s="8">
        <f>SUM(AA7:AA9)</f>
        <v>788123.6829345612</v>
      </c>
      <c r="AB10" s="8">
        <f>SUM(AB7:AB9)</f>
        <v>766568.0250079252</v>
      </c>
      <c r="AC10" s="8">
        <f>SUM(AC7:AC9)</f>
        <v>807329.7256331233</v>
      </c>
      <c r="AD10" s="8">
        <f>SUM(AD7:AD9)</f>
        <v>833910.4687739514</v>
      </c>
      <c r="AE10" s="8">
        <f>SUM(AE7:AE9)</f>
        <v>836811.9804933001</v>
      </c>
      <c r="AF10" s="8">
        <f>SUM(AF7:AF9)</f>
        <v>853536.0300056327</v>
      </c>
      <c r="AG10" s="8">
        <f>SUM(AG7:AG9)</f>
        <v>875784.4307557736</v>
      </c>
      <c r="AH10" s="8">
        <f>SUM(AH7:AH9)</f>
        <v>892659.0415246679</v>
      </c>
      <c r="AI10" s="8">
        <f>SUM(AI7:AI9)</f>
        <v>895861.7675627846</v>
      </c>
      <c r="AJ10" s="8">
        <f>SUM(AJ7:AJ9)</f>
        <v>922894.5617518541</v>
      </c>
      <c r="AK10" s="8">
        <f>SUM(AK7:AK9)</f>
        <v>926259.4257956506</v>
      </c>
    </row>
    <row r="11" spans="1:37">
      <c r="A11" t="s">
        <v>48</v>
      </c>
      <c r="B11" s="8">
        <f>B6-B10</f>
        <v>-309374</v>
      </c>
      <c r="C11" s="8">
        <f>C6-C10</f>
        <v>-337419</v>
      </c>
      <c r="D11" s="8">
        <f>D6-D10</f>
        <v>-358991</v>
      </c>
      <c r="E11" s="8">
        <f>E6-E10</f>
        <v>-335726</v>
      </c>
      <c r="F11" s="8">
        <f>F6-F10</f>
        <v>-355851</v>
      </c>
      <c r="G11" s="8">
        <f>G6-G10</f>
        <v>-387881</v>
      </c>
      <c r="H11" s="8">
        <f>H6-H10</f>
        <v>-363663</v>
      </c>
      <c r="I11" s="8">
        <f>I6-I10</f>
        <v>-386111</v>
      </c>
      <c r="J11" s="8">
        <f>J6-J10</f>
        <v>-396914.87600000005</v>
      </c>
      <c r="K11" s="8">
        <f>K6-K10</f>
        <v>-394195.2479000001</v>
      </c>
      <c r="L11" s="8">
        <f>L6-L10</f>
        <v>-405157.6290974999</v>
      </c>
      <c r="M11" s="8">
        <f>M6-M10</f>
        <v>-412300.31982493744</v>
      </c>
      <c r="N11" s="8">
        <f>N6-N10</f>
        <v>-395356.58533407014</v>
      </c>
      <c r="O11" s="8">
        <f>O6-O10</f>
        <v>-420119.6172660749</v>
      </c>
      <c r="P11" s="8">
        <f>P6-P10</f>
        <v>-436242.6076977269</v>
      </c>
      <c r="Q11" s="8">
        <f>Q6-Q10</f>
        <v>-446838.67289017</v>
      </c>
      <c r="R11" s="8">
        <f>R6-R10</f>
        <v>-443605.8897124243</v>
      </c>
      <c r="S11" s="8">
        <f>S6-S10</f>
        <v>-464042.2869552348</v>
      </c>
      <c r="T11" s="8">
        <f>T6-T10</f>
        <v>-460645.8441291157</v>
      </c>
      <c r="U11" s="8">
        <f>U6-U10</f>
        <v>-480914.49023234367</v>
      </c>
      <c r="V11" s="8">
        <f>V6-V10</f>
        <v>-477346.1024881522</v>
      </c>
      <c r="W11" s="8">
        <f>W6-W10</f>
        <v>-487438.5050503559</v>
      </c>
      <c r="X11" s="8">
        <f>X6-X10</f>
        <v>-445027.6301701061</v>
      </c>
      <c r="Y11" s="8">
        <f>Y6-Y10</f>
        <v>-516639.46767661494</v>
      </c>
      <c r="Z11" s="8">
        <f>Z6-Z10</f>
        <v>-512796.70436853025</v>
      </c>
      <c r="AA11" s="8">
        <f>AA6-AA10</f>
        <v>-518857.8719777435</v>
      </c>
      <c r="AB11" s="8">
        <f>AB6-AB10</f>
        <v>-490570.56877718715</v>
      </c>
      <c r="AC11" s="8">
        <f>AC6-AC10</f>
        <v>-524432.3329966168</v>
      </c>
      <c r="AD11" s="8">
        <f>AD6-AD10</f>
        <v>-543940.6413215322</v>
      </c>
      <c r="AE11" s="8">
        <f>AE6-AE10</f>
        <v>-539592.9073545705</v>
      </c>
      <c r="AF11" s="8">
        <f>AF6-AF10</f>
        <v>-548886.4800384347</v>
      </c>
      <c r="AG11" s="8">
        <f>AG6-AG10</f>
        <v>-563518.6420393956</v>
      </c>
      <c r="AH11" s="8">
        <f>AH6-AH10</f>
        <v>-572586.6080903804</v>
      </c>
      <c r="AI11" s="8">
        <f>AI6-AI10</f>
        <v>-567787.52329264</v>
      </c>
      <c r="AJ11" s="8">
        <f>AJ6-AJ10</f>
        <v>-586618.461374956</v>
      </c>
      <c r="AK11" s="8">
        <f>AK6-AK10</f>
        <v>-581576.4229093299</v>
      </c>
    </row>
    <row r="12" spans="1:37">
      <c r="A12" t="s">
        <v>49</v>
      </c>
      <c r="B12" s="3">
        <v>9000</v>
      </c>
      <c r="C12" s="3">
        <v>9000</v>
      </c>
      <c r="D12" s="3">
        <v>9000</v>
      </c>
      <c r="E12" s="3">
        <v>9000</v>
      </c>
      <c r="F12" s="3">
        <v>9000</v>
      </c>
      <c r="G12" s="3">
        <v>9000</v>
      </c>
      <c r="H12" s="3">
        <v>9000</v>
      </c>
      <c r="I12" s="3">
        <v>9000</v>
      </c>
      <c r="J12" s="3">
        <f>Inputs!$B$10</f>
        <v>9000</v>
      </c>
      <c r="K12" s="3">
        <f>Inputs!$B$10</f>
        <v>9000</v>
      </c>
      <c r="L12" s="3">
        <f>Inputs!$B$10</f>
        <v>9000</v>
      </c>
      <c r="M12" s="3">
        <f>Inputs!$B$10</f>
        <v>9000</v>
      </c>
      <c r="N12" s="3">
        <f>Inputs!$B$10</f>
        <v>9000</v>
      </c>
      <c r="O12" s="3">
        <f>Inputs!$B$10</f>
        <v>9000</v>
      </c>
      <c r="P12" s="3">
        <f>Inputs!$B$10</f>
        <v>9000</v>
      </c>
      <c r="Q12" s="3">
        <f>Inputs!$B$10</f>
        <v>9000</v>
      </c>
      <c r="R12" s="3">
        <f>Inputs!$B$10</f>
        <v>9000</v>
      </c>
      <c r="S12" s="3">
        <f>Inputs!$B$10</f>
        <v>9000</v>
      </c>
      <c r="T12" s="3">
        <f>Inputs!$B$10</f>
        <v>9000</v>
      </c>
      <c r="U12" s="3">
        <f>Inputs!$B$10</f>
        <v>9000</v>
      </c>
      <c r="V12" s="3">
        <f>Inputs!$B$10</f>
        <v>9000</v>
      </c>
      <c r="W12" s="3">
        <f>Inputs!$B$10</f>
        <v>9000</v>
      </c>
      <c r="X12" s="3">
        <f>Inputs!$B$10</f>
        <v>9000</v>
      </c>
      <c r="Y12" s="3">
        <f>Inputs!$B$10</f>
        <v>9000</v>
      </c>
      <c r="Z12" s="3">
        <f>Inputs!$B$10</f>
        <v>9000</v>
      </c>
      <c r="AA12" s="3">
        <f>Inputs!$B$10</f>
        <v>9000</v>
      </c>
      <c r="AB12" s="3">
        <f>Inputs!$B$10</f>
        <v>9000</v>
      </c>
      <c r="AC12" s="3">
        <f>Inputs!$B$10</f>
        <v>9000</v>
      </c>
      <c r="AD12" s="3">
        <f>Inputs!$B$10</f>
        <v>9000</v>
      </c>
      <c r="AE12" s="3">
        <f>Inputs!$B$10</f>
        <v>9000</v>
      </c>
      <c r="AF12" s="3">
        <f>Inputs!$B$10</f>
        <v>9000</v>
      </c>
      <c r="AG12" s="3">
        <f>Inputs!$B$10</f>
        <v>9000</v>
      </c>
      <c r="AH12" s="3">
        <f>Inputs!$B$10</f>
        <v>9000</v>
      </c>
      <c r="AI12" s="3">
        <f>Inputs!$B$10</f>
        <v>9000</v>
      </c>
      <c r="AJ12" s="3">
        <f>Inputs!$B$10</f>
        <v>9000</v>
      </c>
      <c r="AK12" s="3">
        <f>Inputs!$B$10</f>
        <v>9000</v>
      </c>
    </row>
    <row r="13" spans="1:37">
      <c r="A13" t="s">
        <v>50</v>
      </c>
      <c r="B13" s="3">
        <f>B11-B12</f>
        <v>-318374</v>
      </c>
      <c r="C13" s="3">
        <f>C11-C12</f>
        <v>-346419</v>
      </c>
      <c r="D13" s="3">
        <f>D11-D12</f>
        <v>-367991</v>
      </c>
      <c r="E13" s="3">
        <f>E11-E12</f>
        <v>-344726</v>
      </c>
      <c r="F13" s="3">
        <f>F11-F12</f>
        <v>-364851</v>
      </c>
      <c r="G13" s="3">
        <f>G11-G12</f>
        <v>-396881</v>
      </c>
      <c r="H13" s="3">
        <f>H11-H12</f>
        <v>-372663</v>
      </c>
      <c r="I13" s="3">
        <f>I11-I12</f>
        <v>-395111</v>
      </c>
      <c r="J13" s="3">
        <f>J11-J12</f>
        <v>-405914.87600000005</v>
      </c>
      <c r="K13" s="3">
        <f>K11-K12</f>
        <v>-403195.2479000001</v>
      </c>
      <c r="L13" s="3">
        <f>L11-L12</f>
        <v>-414157.6290974999</v>
      </c>
      <c r="M13" s="3">
        <f>M11-M12</f>
        <v>-421300.31982493744</v>
      </c>
      <c r="N13" s="3">
        <f>N11-N12</f>
        <v>-404356.58533407014</v>
      </c>
      <c r="O13" s="3">
        <f>O11-O12</f>
        <v>-429119.6172660749</v>
      </c>
      <c r="P13" s="3">
        <f>P11-P12</f>
        <v>-445242.6076977269</v>
      </c>
      <c r="Q13" s="3">
        <f>Q11-Q12</f>
        <v>-455838.67289017</v>
      </c>
      <c r="R13" s="3">
        <f>R11-R12</f>
        <v>-452605.8897124243</v>
      </c>
      <c r="S13" s="3">
        <f>S11-S12</f>
        <v>-473042.2869552348</v>
      </c>
      <c r="T13" s="3">
        <f>T11-T12</f>
        <v>-469645.8441291157</v>
      </c>
      <c r="U13" s="3">
        <f>U11-U12</f>
        <v>-489914.49023234367</v>
      </c>
      <c r="V13" s="3">
        <f>V11-V12</f>
        <v>-486346.1024881522</v>
      </c>
      <c r="W13" s="3">
        <f>W11-W12</f>
        <v>-496438.5050503559</v>
      </c>
      <c r="X13" s="3">
        <f>X11-X12</f>
        <v>-454027.6301701061</v>
      </c>
      <c r="Y13" s="3">
        <f>Y11-Y12</f>
        <v>-525639.4676766149</v>
      </c>
      <c r="Z13" s="3">
        <f>Z11-Z12</f>
        <v>-521796.70436853025</v>
      </c>
      <c r="AA13" s="3">
        <f>AA11-AA12</f>
        <v>-527857.8719777435</v>
      </c>
      <c r="AB13" s="3">
        <f>AB11-AB12</f>
        <v>-499570.56877718715</v>
      </c>
      <c r="AC13" s="3">
        <f>AC11-AC12</f>
        <v>-533432.3329966168</v>
      </c>
      <c r="AD13" s="3">
        <f>AD11-AD12</f>
        <v>-552940.6413215322</v>
      </c>
      <c r="AE13" s="3">
        <f>AE11-AE12</f>
        <v>-548592.9073545705</v>
      </c>
      <c r="AF13" s="3">
        <f>AF11-AF12</f>
        <v>-557886.4800384347</v>
      </c>
      <c r="AG13" s="3">
        <f>AG11-AG12</f>
        <v>-572518.6420393956</v>
      </c>
      <c r="AH13" s="3">
        <f>AH11-AH12</f>
        <v>-581586.6080903804</v>
      </c>
      <c r="AI13" s="3">
        <f>AI11-AI12</f>
        <v>-576787.52329264</v>
      </c>
      <c r="AJ13" s="3">
        <f>AJ11-AJ12</f>
        <v>-595618.461374956</v>
      </c>
      <c r="AK13" s="3">
        <f>AK11-AK12</f>
        <v>-590576.4229093299</v>
      </c>
    </row>
    <row r="14" spans="1:37">
      <c r="A14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f>MAX(0,J13)*Inputs!$B$12</f>
        <v>0.0</v>
      </c>
      <c r="K14" s="3">
        <f>MAX(0,K13)*Inputs!$B$12</f>
        <v>0.0</v>
      </c>
      <c r="L14" s="3">
        <f>MAX(0,L13)*Inputs!$B$12</f>
        <v>0.0</v>
      </c>
      <c r="M14" s="3">
        <f>MAX(0,M13)*Inputs!$B$12</f>
        <v>0.0</v>
      </c>
      <c r="N14" s="3">
        <f>MAX(0,N13)*Inputs!$B$12</f>
        <v>0.0</v>
      </c>
      <c r="O14" s="3">
        <f>MAX(0,O13)*Inputs!$B$12</f>
        <v>0.0</v>
      </c>
      <c r="P14" s="3">
        <f>MAX(0,P13)*Inputs!$B$12</f>
        <v>0.0</v>
      </c>
      <c r="Q14" s="3">
        <f>MAX(0,Q13)*Inputs!$B$12</f>
        <v>0.0</v>
      </c>
      <c r="R14" s="3">
        <f>MAX(0,R13)*Inputs!$B$12</f>
        <v>0.0</v>
      </c>
      <c r="S14" s="3">
        <f>MAX(0,S13)*Inputs!$B$12</f>
        <v>0.0</v>
      </c>
      <c r="T14" s="3">
        <f>MAX(0,T13)*Inputs!$B$12</f>
        <v>0.0</v>
      </c>
      <c r="U14" s="3">
        <f>MAX(0,U13)*Inputs!$B$12</f>
        <v>0.0</v>
      </c>
      <c r="V14" s="3">
        <f>MAX(0,V13)*Inputs!$B$12</f>
        <v>0.0</v>
      </c>
      <c r="W14" s="3">
        <f>MAX(0,W13)*Inputs!$B$12</f>
        <v>0.0</v>
      </c>
      <c r="X14" s="3">
        <f>MAX(0,X13)*Inputs!$B$12</f>
        <v>0.0</v>
      </c>
      <c r="Y14" s="3">
        <f>MAX(0,Y13)*Inputs!$B$12</f>
        <v>0.0</v>
      </c>
      <c r="Z14" s="3">
        <f>MAX(0,Z13)*Inputs!$B$12</f>
        <v>0.0</v>
      </c>
      <c r="AA14" s="3">
        <f>MAX(0,AA13)*Inputs!$B$12</f>
        <v>0.0</v>
      </c>
      <c r="AB14" s="3">
        <f>MAX(0,AB13)*Inputs!$B$12</f>
        <v>0.0</v>
      </c>
      <c r="AC14" s="3">
        <f>MAX(0,AC13)*Inputs!$B$12</f>
        <v>0.0</v>
      </c>
      <c r="AD14" s="3">
        <f>MAX(0,AD13)*Inputs!$B$12</f>
        <v>0.0</v>
      </c>
      <c r="AE14" s="3">
        <f>MAX(0,AE13)*Inputs!$B$12</f>
        <v>0.0</v>
      </c>
      <c r="AF14" s="3">
        <f>MAX(0,AF13)*Inputs!$B$12</f>
        <v>0.0</v>
      </c>
      <c r="AG14" s="3">
        <f>MAX(0,AG13)*Inputs!$B$12</f>
        <v>0.0</v>
      </c>
      <c r="AH14" s="3">
        <f>MAX(0,AH13)*Inputs!$B$12</f>
        <v>0.0</v>
      </c>
      <c r="AI14" s="3">
        <f>MAX(0,AI13)*Inputs!$B$12</f>
        <v>0.0</v>
      </c>
      <c r="AJ14" s="3">
        <f>MAX(0,AJ13)*Inputs!$B$12</f>
        <v>0.0</v>
      </c>
      <c r="AK14" s="3">
        <f>MAX(0,AK13)*Inputs!$B$12</f>
        <v>0.0</v>
      </c>
    </row>
    <row r="15" spans="1:37">
      <c r="A15" t="s">
        <v>52</v>
      </c>
      <c r="B15" s="8">
        <f>B13-B14</f>
        <v>-318374</v>
      </c>
      <c r="C15" s="8">
        <f>C13-C14</f>
        <v>-346419</v>
      </c>
      <c r="D15" s="8">
        <f>D13-D14</f>
        <v>-367991</v>
      </c>
      <c r="E15" s="8">
        <f>E13-E14</f>
        <v>-344726</v>
      </c>
      <c r="F15" s="8">
        <f>F13-F14</f>
        <v>-364851</v>
      </c>
      <c r="G15" s="8">
        <f>G13-G14</f>
        <v>-396881</v>
      </c>
      <c r="H15" s="8">
        <f>H13-H14</f>
        <v>-372663</v>
      </c>
      <c r="I15" s="8">
        <f>I13-I14</f>
        <v>-395111</v>
      </c>
      <c r="J15" s="8">
        <f>J13-J14</f>
        <v>-405914.87600000005</v>
      </c>
      <c r="K15" s="8">
        <f>K13-K14</f>
        <v>-403195.2479000001</v>
      </c>
      <c r="L15" s="8">
        <f>L13-L14</f>
        <v>-414157.6290974999</v>
      </c>
      <c r="M15" s="8">
        <f>M13-M14</f>
        <v>-421300.31982493744</v>
      </c>
      <c r="N15" s="8">
        <f>N13-N14</f>
        <v>-404356.58533407014</v>
      </c>
      <c r="O15" s="8">
        <f>O13-O14</f>
        <v>-429119.6172660749</v>
      </c>
      <c r="P15" s="8">
        <f>P13-P14</f>
        <v>-445242.6076977269</v>
      </c>
      <c r="Q15" s="8">
        <f>Q13-Q14</f>
        <v>-455838.67289017</v>
      </c>
      <c r="R15" s="8">
        <f>R13-R14</f>
        <v>-452605.8897124243</v>
      </c>
      <c r="S15" s="8">
        <f>S13-S14</f>
        <v>-473042.2869552348</v>
      </c>
      <c r="T15" s="8">
        <f>T13-T14</f>
        <v>-469645.8441291157</v>
      </c>
      <c r="U15" s="8">
        <f>U13-U14</f>
        <v>-489914.49023234367</v>
      </c>
      <c r="V15" s="8">
        <f>V13-V14</f>
        <v>-486346.1024881522</v>
      </c>
      <c r="W15" s="8">
        <f>W13-W14</f>
        <v>-496438.5050503559</v>
      </c>
      <c r="X15" s="8">
        <f>X13-X14</f>
        <v>-454027.6301701061</v>
      </c>
      <c r="Y15" s="8">
        <f>Y13-Y14</f>
        <v>-525639.4676766149</v>
      </c>
      <c r="Z15" s="8">
        <f>Z13-Z14</f>
        <v>-521796.70436853025</v>
      </c>
      <c r="AA15" s="8">
        <f>AA13-AA14</f>
        <v>-527857.8719777435</v>
      </c>
      <c r="AB15" s="8">
        <f>AB13-AB14</f>
        <v>-499570.56877718715</v>
      </c>
      <c r="AC15" s="8">
        <f>AC13-AC14</f>
        <v>-533432.3329966168</v>
      </c>
      <c r="AD15" s="8">
        <f>AD13-AD14</f>
        <v>-552940.6413215322</v>
      </c>
      <c r="AE15" s="8">
        <f>AE13-AE14</f>
        <v>-548592.9073545705</v>
      </c>
      <c r="AF15" s="8">
        <f>AF13-AF14</f>
        <v>-557886.4800384347</v>
      </c>
      <c r="AG15" s="8">
        <f>AG13-AG14</f>
        <v>-572518.6420393956</v>
      </c>
      <c r="AH15" s="8">
        <f>AH13-AH14</f>
        <v>-581586.6080903804</v>
      </c>
      <c r="AI15" s="8">
        <f>AI13-AI14</f>
        <v>-576787.52329264</v>
      </c>
      <c r="AJ15" s="8">
        <f>AJ13-AJ14</f>
        <v>-595618.461374956</v>
      </c>
      <c r="AK15" s="8">
        <f>AK13-AK14</f>
        <v>-590576.4229093299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37" width="12.7109375" customWidth="1"/>
  </cols>
  <sheetData>
    <row r="1" spans="1:37">
      <c r="A1" s="1" t="s">
        <v>53</v>
      </c>
    </row>
    <row r="2" spans="1:37">
      <c r="A2" s="6" t="s">
        <v>35</v>
      </c>
      <c r="B2" s="6">
        <v>46023</v>
      </c>
      <c r="C2" s="6">
        <v>46054</v>
      </c>
      <c r="D2" s="6">
        <v>46082</v>
      </c>
      <c r="E2" s="6">
        <v>46113</v>
      </c>
      <c r="F2" s="6">
        <v>46143</v>
      </c>
      <c r="G2" s="6">
        <v>46174</v>
      </c>
      <c r="H2" s="6">
        <v>46204</v>
      </c>
      <c r="I2" s="6">
        <v>46235</v>
      </c>
      <c r="J2" s="6">
        <v>46266</v>
      </c>
      <c r="K2" s="6">
        <v>46296</v>
      </c>
      <c r="L2" s="6">
        <v>46327</v>
      </c>
      <c r="M2" s="6">
        <v>46357</v>
      </c>
      <c r="N2" s="6">
        <v>46388</v>
      </c>
      <c r="O2" s="6">
        <v>46419</v>
      </c>
      <c r="P2" s="6">
        <v>46447</v>
      </c>
      <c r="Q2" s="6">
        <v>46478</v>
      </c>
      <c r="R2" s="6">
        <v>46508</v>
      </c>
      <c r="S2" s="6">
        <v>46539</v>
      </c>
      <c r="T2" s="6">
        <v>46569</v>
      </c>
      <c r="U2" s="6">
        <v>46600</v>
      </c>
      <c r="V2" s="6">
        <v>46631</v>
      </c>
      <c r="W2" s="6">
        <v>46661</v>
      </c>
      <c r="X2" s="6">
        <v>46692</v>
      </c>
      <c r="Y2" s="6">
        <v>46722</v>
      </c>
      <c r="Z2" s="6">
        <v>46753</v>
      </c>
      <c r="AA2" s="6">
        <v>46784</v>
      </c>
      <c r="AB2" s="6">
        <v>46813</v>
      </c>
      <c r="AC2" s="6">
        <v>46844</v>
      </c>
      <c r="AD2" s="6">
        <v>46874</v>
      </c>
      <c r="AE2" s="6">
        <v>46905</v>
      </c>
      <c r="AF2" s="6">
        <v>46935</v>
      </c>
      <c r="AG2" s="6">
        <v>46966</v>
      </c>
      <c r="AH2" s="6">
        <v>46997</v>
      </c>
      <c r="AI2" s="6">
        <v>47027</v>
      </c>
      <c r="AJ2" s="6">
        <v>47058</v>
      </c>
      <c r="AK2" s="6">
        <v>47088</v>
      </c>
    </row>
    <row r="4" spans="1:37">
      <c r="A4" t="s">
        <v>52</v>
      </c>
      <c r="B4" s="8">
        <f>'P&amp;L'!B15</f>
        <v>-318374</v>
      </c>
      <c r="C4" s="8">
        <f>'P&amp;L'!C15</f>
        <v>-346419</v>
      </c>
      <c r="D4" s="8">
        <f>'P&amp;L'!D15</f>
        <v>-367991</v>
      </c>
      <c r="E4" s="8">
        <f>'P&amp;L'!E15</f>
        <v>-344726</v>
      </c>
      <c r="F4" s="8">
        <f>'P&amp;L'!F15</f>
        <v>-364851</v>
      </c>
      <c r="G4" s="8">
        <f>'P&amp;L'!G15</f>
        <v>-396881</v>
      </c>
      <c r="H4" s="8">
        <f>'P&amp;L'!H15</f>
        <v>-372663</v>
      </c>
      <c r="I4" s="8">
        <f>'P&amp;L'!I15</f>
        <v>-395111</v>
      </c>
      <c r="J4" s="8">
        <f>'P&amp;L'!J15</f>
        <v>-405914.87600000005</v>
      </c>
      <c r="K4" s="8">
        <f>'P&amp;L'!K15</f>
        <v>-403195.2479000001</v>
      </c>
      <c r="L4" s="8">
        <f>'P&amp;L'!L15</f>
        <v>-414157.6290974999</v>
      </c>
      <c r="M4" s="8">
        <f>'P&amp;L'!M15</f>
        <v>-421300.31982493744</v>
      </c>
      <c r="N4" s="8">
        <f>'P&amp;L'!N15</f>
        <v>-404356.58533407014</v>
      </c>
      <c r="O4" s="8">
        <f>'P&amp;L'!O15</f>
        <v>-429119.6172660749</v>
      </c>
      <c r="P4" s="8">
        <f>'P&amp;L'!P15</f>
        <v>-445242.6076977269</v>
      </c>
      <c r="Q4" s="8">
        <f>'P&amp;L'!Q15</f>
        <v>-455838.67289017</v>
      </c>
      <c r="R4" s="8">
        <f>'P&amp;L'!R15</f>
        <v>-452605.8897124243</v>
      </c>
      <c r="S4" s="8">
        <f>'P&amp;L'!S15</f>
        <v>-473042.2869552348</v>
      </c>
      <c r="T4" s="8">
        <f>'P&amp;L'!T15</f>
        <v>-469645.8441291157</v>
      </c>
      <c r="U4" s="8">
        <f>'P&amp;L'!U15</f>
        <v>-489914.49023234367</v>
      </c>
      <c r="V4" s="8">
        <f>'P&amp;L'!V15</f>
        <v>-486346.1024881522</v>
      </c>
      <c r="W4" s="8">
        <f>'P&amp;L'!W15</f>
        <v>-496438.5050503559</v>
      </c>
      <c r="X4" s="8">
        <f>'P&amp;L'!X15</f>
        <v>-454027.6301701061</v>
      </c>
      <c r="Y4" s="8">
        <f>'P&amp;L'!Y15</f>
        <v>-525639.4676766149</v>
      </c>
      <c r="Z4" s="8">
        <f>'P&amp;L'!Z15</f>
        <v>-521796.70436853025</v>
      </c>
      <c r="AA4" s="8">
        <f>'P&amp;L'!AA15</f>
        <v>-527857.8719777435</v>
      </c>
      <c r="AB4" s="8">
        <f>'P&amp;L'!AB15</f>
        <v>-499570.56877718715</v>
      </c>
      <c r="AC4" s="8">
        <f>'P&amp;L'!AC15</f>
        <v>-533432.3329966168</v>
      </c>
      <c r="AD4" s="8">
        <f>'P&amp;L'!AD15</f>
        <v>-552940.6413215322</v>
      </c>
      <c r="AE4" s="8">
        <f>'P&amp;L'!AE15</f>
        <v>-548592.9073545705</v>
      </c>
      <c r="AF4" s="8">
        <f>'P&amp;L'!AF15</f>
        <v>-557886.4800384347</v>
      </c>
      <c r="AG4" s="8">
        <f>'P&amp;L'!AG15</f>
        <v>-572518.6420393956</v>
      </c>
      <c r="AH4" s="8">
        <f>'P&amp;L'!AH15</f>
        <v>-581586.6080903804</v>
      </c>
      <c r="AI4" s="8">
        <f>'P&amp;L'!AI15</f>
        <v>-576787.52329264</v>
      </c>
      <c r="AJ4" s="8">
        <f>'P&amp;L'!AJ15</f>
        <v>-595618.461374956</v>
      </c>
      <c r="AK4" s="8">
        <f>'P&amp;L'!AK15</f>
        <v>-590576.4229093299</v>
      </c>
    </row>
    <row r="5" spans="1:37">
      <c r="A5" t="s">
        <v>49</v>
      </c>
      <c r="B5" s="3">
        <f>'P&amp;L'!B12</f>
        <v>9000</v>
      </c>
      <c r="C5" s="3">
        <f>'P&amp;L'!C12</f>
        <v>9000</v>
      </c>
      <c r="D5" s="3">
        <f>'P&amp;L'!D12</f>
        <v>9000</v>
      </c>
      <c r="E5" s="3">
        <f>'P&amp;L'!E12</f>
        <v>9000</v>
      </c>
      <c r="F5" s="3">
        <f>'P&amp;L'!F12</f>
        <v>9000</v>
      </c>
      <c r="G5" s="3">
        <f>'P&amp;L'!G12</f>
        <v>9000</v>
      </c>
      <c r="H5" s="3">
        <f>'P&amp;L'!H12</f>
        <v>9000</v>
      </c>
      <c r="I5" s="3">
        <f>'P&amp;L'!I12</f>
        <v>9000</v>
      </c>
      <c r="J5" s="3">
        <f>'P&amp;L'!J12</f>
        <v>9000</v>
      </c>
      <c r="K5" s="3">
        <f>'P&amp;L'!K12</f>
        <v>9000</v>
      </c>
      <c r="L5" s="3">
        <f>'P&amp;L'!L12</f>
        <v>9000</v>
      </c>
      <c r="M5" s="3">
        <f>'P&amp;L'!M12</f>
        <v>9000</v>
      </c>
      <c r="N5" s="3">
        <f>'P&amp;L'!N12</f>
        <v>9000</v>
      </c>
      <c r="O5" s="3">
        <f>'P&amp;L'!O12</f>
        <v>9000</v>
      </c>
      <c r="P5" s="3">
        <f>'P&amp;L'!P12</f>
        <v>9000</v>
      </c>
      <c r="Q5" s="3">
        <f>'P&amp;L'!Q12</f>
        <v>9000</v>
      </c>
      <c r="R5" s="3">
        <f>'P&amp;L'!R12</f>
        <v>9000</v>
      </c>
      <c r="S5" s="3">
        <f>'P&amp;L'!S12</f>
        <v>9000</v>
      </c>
      <c r="T5" s="3">
        <f>'P&amp;L'!T12</f>
        <v>9000</v>
      </c>
      <c r="U5" s="3">
        <f>'P&amp;L'!U12</f>
        <v>9000</v>
      </c>
      <c r="V5" s="3">
        <f>'P&amp;L'!V12</f>
        <v>9000</v>
      </c>
      <c r="W5" s="3">
        <f>'P&amp;L'!W12</f>
        <v>9000</v>
      </c>
      <c r="X5" s="3">
        <f>'P&amp;L'!X12</f>
        <v>9000</v>
      </c>
      <c r="Y5" s="3">
        <f>'P&amp;L'!Y12</f>
        <v>9000</v>
      </c>
      <c r="Z5" s="3">
        <f>'P&amp;L'!Z12</f>
        <v>9000</v>
      </c>
      <c r="AA5" s="3">
        <f>'P&amp;L'!AA12</f>
        <v>9000</v>
      </c>
      <c r="AB5" s="3">
        <f>'P&amp;L'!AB12</f>
        <v>9000</v>
      </c>
      <c r="AC5" s="3">
        <f>'P&amp;L'!AC12</f>
        <v>9000</v>
      </c>
      <c r="AD5" s="3">
        <f>'P&amp;L'!AD12</f>
        <v>9000</v>
      </c>
      <c r="AE5" s="3">
        <f>'P&amp;L'!AE12</f>
        <v>9000</v>
      </c>
      <c r="AF5" s="3">
        <f>'P&amp;L'!AF12</f>
        <v>9000</v>
      </c>
      <c r="AG5" s="3">
        <f>'P&amp;L'!AG12</f>
        <v>9000</v>
      </c>
      <c r="AH5" s="3">
        <f>'P&amp;L'!AH12</f>
        <v>9000</v>
      </c>
      <c r="AI5" s="3">
        <f>'P&amp;L'!AI12</f>
        <v>9000</v>
      </c>
      <c r="AJ5" s="3">
        <f>'P&amp;L'!AJ12</f>
        <v>9000</v>
      </c>
      <c r="AK5" s="3">
        <f>'P&amp;L'!AK12</f>
        <v>9000</v>
      </c>
    </row>
    <row r="6" spans="1:37">
      <c r="A6" t="s">
        <v>54</v>
      </c>
      <c r="B6" s="3">
        <f>-('Balance Sheet'!B5-Inputs!$B$18)</f>
        <v>-10256</v>
      </c>
      <c r="C6" s="3">
        <f>-('Balance Sheet'!C5-'Balance Sheet'!B5)</f>
        <v>-4408</v>
      </c>
      <c r="D6" s="3">
        <f>-('Balance Sheet'!D5-'Balance Sheet'!C5)</f>
        <v>-2489</v>
      </c>
      <c r="E6" s="3">
        <f>-('Balance Sheet'!E5-'Balance Sheet'!D5)</f>
        <v>-7697</v>
      </c>
      <c r="F6" s="3">
        <f>-('Balance Sheet'!F5-'Balance Sheet'!E5)</f>
        <v>-4372</v>
      </c>
      <c r="G6" s="3">
        <f>-('Balance Sheet'!G5-'Balance Sheet'!F5)</f>
        <v>-7512</v>
      </c>
      <c r="H6" s="3">
        <f>-('Balance Sheet'!H5-'Balance Sheet'!G5)</f>
        <v>-2309</v>
      </c>
      <c r="I6" s="3">
        <f>-('Balance Sheet'!I5-'Balance Sheet'!H5)</f>
        <v>-5070</v>
      </c>
      <c r="J6" s="3">
        <f>-('Balance Sheet'!J5-'Balance Sheet'!I5)</f>
        <v>-6930.8000000000175</v>
      </c>
      <c r="K6" s="3">
        <f>-('Balance Sheet'!K5-'Balance Sheet'!J5)</f>
        <v>-5813.595000000001</v>
      </c>
      <c r="L6" s="3">
        <f>-('Balance Sheet'!L5-'Balance Sheet'!K5)</f>
        <v>-5958.934875000006</v>
      </c>
      <c r="M6" s="3">
        <f>-('Balance Sheet'!M5-'Balance Sheet'!L5)</f>
        <v>-6107.908246874984</v>
      </c>
      <c r="N6" s="3">
        <f>-('Balance Sheet'!N5-'Balance Sheet'!M5)</f>
        <v>-24228.5450382914</v>
      </c>
      <c r="O6" s="3">
        <f>-('Balance Sheet'!O5-'Balance Sheet'!N5)</f>
        <v>11550.817983371497</v>
      </c>
      <c r="P6" s="3">
        <f>-('Balance Sheet'!P5-'Balance Sheet'!O5)</f>
        <v>-6577.549129419844</v>
      </c>
      <c r="Q6" s="3">
        <f>-('Balance Sheet'!Q5-'Balance Sheet'!P5)</f>
        <v>-6741.987857655389</v>
      </c>
      <c r="R6" s="3">
        <f>-('Balance Sheet'!R5-'Balance Sheet'!Q5)</f>
        <v>-6910.537554096722</v>
      </c>
      <c r="S6" s="3">
        <f>-('Balance Sheet'!S5-'Balance Sheet'!R5)</f>
        <v>-7083.3009929492255</v>
      </c>
      <c r="T6" s="3">
        <f>-('Balance Sheet'!T5-'Balance Sheet'!S5)</f>
        <v>-7260.383517772891</v>
      </c>
      <c r="U6" s="3">
        <f>-('Balance Sheet'!U5-'Balance Sheet'!T5)</f>
        <v>-7441.893105717201</v>
      </c>
      <c r="V6" s="3">
        <f>-('Balance Sheet'!V5-'Balance Sheet'!U5)</f>
        <v>-7627.940433360171</v>
      </c>
      <c r="W6" s="3">
        <f>-('Balance Sheet'!W5-'Balance Sheet'!V5)</f>
        <v>-7818.6389441941865</v>
      </c>
      <c r="X6" s="3">
        <f>-('Balance Sheet'!X5-'Balance Sheet'!W5)</f>
        <v>0.0</v>
      </c>
      <c r="Y6" s="3">
        <f>-('Balance Sheet'!Y5-'Balance Sheet'!X5)</f>
        <v>-8014.104917799006</v>
      </c>
      <c r="Z6" s="3">
        <f>-('Balance Sheet'!Z5-'Balance Sheet'!Y5)</f>
        <v>-8214.457540744042</v>
      </c>
      <c r="AA6" s="3">
        <f>-('Balance Sheet'!AA5-'Balance Sheet'!Z5)</f>
        <v>-8419.818979262607</v>
      </c>
      <c r="AB6" s="3">
        <f>-('Balance Sheet'!AB5-'Balance Sheet'!AA5)</f>
        <v>-8630.314453744155</v>
      </c>
      <c r="AC6" s="3">
        <f>-('Balance Sheet'!AC5-'Balance Sheet'!AB5)</f>
        <v>-8846.072315087775</v>
      </c>
      <c r="AD6" s="3">
        <f>-('Balance Sheet'!AD5-'Balance Sheet'!AC5)</f>
        <v>-9067.224122964952</v>
      </c>
      <c r="AE6" s="3">
        <f>-('Balance Sheet'!AE5-'Balance Sheet'!AD5)</f>
        <v>-9293.904726039094</v>
      </c>
      <c r="AF6" s="3">
        <f>-('Balance Sheet'!AF5-'Balance Sheet'!AE5)</f>
        <v>0.0</v>
      </c>
      <c r="AG6" s="3">
        <f>-('Balance Sheet'!AG5-'Balance Sheet'!AF5)</f>
        <v>-19290.660996984923</v>
      </c>
      <c r="AH6" s="3">
        <f>-('Balance Sheet'!AH5-'Balance Sheet'!AG5)</f>
        <v>-10008.51886911469</v>
      </c>
      <c r="AI6" s="3">
        <f>-('Balance Sheet'!AI5-'Balance Sheet'!AH5)</f>
        <v>-10258.731840842578</v>
      </c>
      <c r="AJ6" s="3">
        <f>-('Balance Sheet'!AJ5-'Balance Sheet'!AI5)</f>
        <v>-10515.200136863627</v>
      </c>
      <c r="AK6" s="3">
        <f>-('Balance Sheet'!AK5-'Balance Sheet'!AJ5)</f>
        <v>-10778.080140285194</v>
      </c>
    </row>
    <row r="7" spans="1:37">
      <c r="A7" t="s">
        <v>55</v>
      </c>
      <c r="B7" s="3">
        <f>'Balance Sheet'!B9-Inputs!$B$20</f>
        <v>152565.0</v>
      </c>
      <c r="C7" s="3">
        <f>'Balance Sheet'!C9-'Balance Sheet'!B9</f>
        <v>16226.5</v>
      </c>
      <c r="D7" s="3">
        <f>'Balance Sheet'!D9-'Balance Sheet'!C9</f>
        <v>12030.5</v>
      </c>
      <c r="E7" s="3">
        <f>'Balance Sheet'!E9-'Balance Sheet'!D9</f>
        <v>-7784.0</v>
      </c>
      <c r="F7" s="3">
        <f>'Balance Sheet'!F9-'Balance Sheet'!E9</f>
        <v>12248.5</v>
      </c>
      <c r="G7" s="3">
        <f>'Balance Sheet'!G9-'Balance Sheet'!F9</f>
        <v>19771.0</v>
      </c>
      <c r="H7" s="3">
        <f>'Balance Sheet'!H9-'Balance Sheet'!G9</f>
        <v>-10954.5</v>
      </c>
      <c r="I7" s="3">
        <f>'Balance Sheet'!I9-'Balance Sheet'!H9</f>
        <v>13759.0</v>
      </c>
      <c r="J7" s="3">
        <f>'Balance Sheet'!J9-'Balance Sheet'!I9</f>
        <v>8867.338000000047</v>
      </c>
      <c r="K7" s="3">
        <f>'Balance Sheet'!K9-'Balance Sheet'!J9</f>
        <v>1546.9834499999997</v>
      </c>
      <c r="L7" s="3">
        <f>'Balance Sheet'!L9-'Balance Sheet'!K9</f>
        <v>8460.658036249923</v>
      </c>
      <c r="M7" s="3">
        <f>'Balance Sheet'!M9-'Balance Sheet'!L9</f>
        <v>6625.29948715627</v>
      </c>
      <c r="N7" s="3">
        <f>'Balance Sheet'!N9-'Balance Sheet'!M9</f>
        <v>3642.4052737120655</v>
      </c>
      <c r="O7" s="3">
        <f>'Balance Sheet'!O9-'Balance Sheet'!N9</f>
        <v>6606.1069743166445</v>
      </c>
      <c r="P7" s="3">
        <f>'Balance Sheet'!P9-'Balance Sheet'!O9</f>
        <v>11350.269780535891</v>
      </c>
      <c r="Q7" s="3">
        <f>'Balance Sheet'!Q9-'Balance Sheet'!P9</f>
        <v>8669.026525049238</v>
      </c>
      <c r="R7" s="3">
        <f>'Balance Sheet'!R9-'Balance Sheet'!Q9</f>
        <v>1838.8771881755092</v>
      </c>
      <c r="S7" s="3">
        <f>'Balance Sheet'!S9-'Balance Sheet'!R9</f>
        <v>13759.849117879872</v>
      </c>
      <c r="T7" s="3">
        <f>'Balance Sheet'!T9-'Balance Sheet'!S9</f>
        <v>1931.9703458268777</v>
      </c>
      <c r="U7" s="3">
        <f>'Balance Sheet'!U9-'Balance Sheet'!T9</f>
        <v>13855.269604472618</v>
      </c>
      <c r="V7" s="3">
        <f>'Balance Sheet'!V9-'Balance Sheet'!U9</f>
        <v>2029.7763445843011</v>
      </c>
      <c r="W7" s="3">
        <f>'Balance Sheet'!W9-'Balance Sheet'!V9</f>
        <v>8955.520753199002</v>
      </c>
      <c r="X7" s="3">
        <f>'Balance Sheet'!X9-'Balance Sheet'!W9</f>
        <v>-21205.437440124922</v>
      </c>
      <c r="Y7" s="3">
        <f>'Balance Sheet'!Y9-'Balance Sheet'!X9</f>
        <v>39812.971212153905</v>
      </c>
      <c r="Z7" s="3">
        <f>'Balance Sheet'!Z9-'Balance Sheet'!Y9</f>
        <v>2185.847116329707</v>
      </c>
      <c r="AA7" s="3">
        <f>'Balance Sheet'!AA9-'Balance Sheet'!Z9</f>
        <v>7240.493294237938</v>
      </c>
      <c r="AB7" s="3">
        <f>'Balance Sheet'!AB9-'Balance Sheet'!AA9</f>
        <v>-9828.494373406109</v>
      </c>
      <c r="AC7" s="3">
        <f>'Balance Sheet'!AC9-'Balance Sheet'!AB9</f>
        <v>21353.918267258676</v>
      </c>
      <c r="AD7" s="3">
        <f>'Balance Sheet'!AD9-'Balance Sheet'!AC9</f>
        <v>14287.766223940183</v>
      </c>
      <c r="AE7" s="3">
        <f>'Balance Sheet'!AE9-'Balance Sheet'!AD9</f>
        <v>2473.08537953865</v>
      </c>
      <c r="AF7" s="3">
        <f>'Balance Sheet'!AF9-'Balance Sheet'!AE9</f>
        <v>9409.912514027208</v>
      </c>
      <c r="AG7" s="3">
        <f>'Balance Sheet'!AG9-'Balance Sheet'!AF9</f>
        <v>12198.285326877842</v>
      </c>
      <c r="AH7" s="3">
        <f>'Balance Sheet'!AH9-'Balance Sheet'!AG9</f>
        <v>9538.242460049805</v>
      </c>
      <c r="AI7" s="3">
        <f>'Balance Sheet'!AI9-'Balance Sheet'!AH9</f>
        <v>2729.823521551036</v>
      </c>
      <c r="AJ7" s="3">
        <f>'Balance Sheet'!AJ9-'Balance Sheet'!AI9</f>
        <v>14673.069109589793</v>
      </c>
      <c r="AK7" s="3">
        <f>'Balance Sheet'!AK9-'Balance Sheet'!AJ9</f>
        <v>2868.020837329561</v>
      </c>
    </row>
    <row r="8" spans="1:37">
      <c r="A8" t="s">
        <v>56</v>
      </c>
      <c r="B8" s="8">
        <f>SUM(B4:B7)</f>
        <v>-167065.0</v>
      </c>
      <c r="C8" s="8">
        <f>SUM(C4:C7)</f>
        <v>-325600.5</v>
      </c>
      <c r="D8" s="8">
        <f>SUM(D4:D7)</f>
        <v>-349449.5</v>
      </c>
      <c r="E8" s="8">
        <f>SUM(E4:E7)</f>
        <v>-351207.0</v>
      </c>
      <c r="F8" s="8">
        <f>SUM(F4:F7)</f>
        <v>-347974.5</v>
      </c>
      <c r="G8" s="8">
        <f>SUM(G4:G7)</f>
        <v>-375622.0</v>
      </c>
      <c r="H8" s="8">
        <f>SUM(H4:H7)</f>
        <v>-376926.5</v>
      </c>
      <c r="I8" s="8">
        <f>SUM(I4:I7)</f>
        <v>-377422.0</v>
      </c>
      <c r="J8" s="8">
        <f>SUM(J4:J7)</f>
        <v>-394978.33800000005</v>
      </c>
      <c r="K8" s="8">
        <f>SUM(K4:K7)</f>
        <v>-398461.85945000005</v>
      </c>
      <c r="L8" s="8">
        <f>SUM(L4:L7)</f>
        <v>-402655.90593625</v>
      </c>
      <c r="M8" s="8">
        <f>SUM(M4:M7)</f>
        <v>-411782.92858465615</v>
      </c>
      <c r="N8" s="8">
        <f>SUM(N4:N7)</f>
        <v>-415942.72509864945</v>
      </c>
      <c r="O8" s="8">
        <f>SUM(O4:O7)</f>
        <v>-401962.6923083868</v>
      </c>
      <c r="P8" s="8">
        <f>SUM(P4:P7)</f>
        <v>-431469.8870466109</v>
      </c>
      <c r="Q8" s="8">
        <f>SUM(Q4:Q7)</f>
        <v>-444911.63422277616</v>
      </c>
      <c r="R8" s="8">
        <f>SUM(R4:R7)</f>
        <v>-448677.5500783455</v>
      </c>
      <c r="S8" s="8">
        <f>SUM(S4:S7)</f>
        <v>-457365.7388303042</v>
      </c>
      <c r="T8" s="8">
        <f>SUM(T4:T7)</f>
        <v>-465974.2573010617</v>
      </c>
      <c r="U8" s="8">
        <f>SUM(U4:U7)</f>
        <v>-474501.11373358825</v>
      </c>
      <c r="V8" s="8">
        <f>SUM(V4:V7)</f>
        <v>-482944.2665769281</v>
      </c>
      <c r="W8" s="8">
        <f>SUM(W4:W7)</f>
        <v>-486301.6232413511</v>
      </c>
      <c r="X8" s="8">
        <f>SUM(X4:X7)</f>
        <v>-466233.067610231</v>
      </c>
      <c r="Y8" s="8">
        <f>SUM(Y4:Y7)</f>
        <v>-484840.60138226</v>
      </c>
      <c r="Z8" s="8">
        <f>SUM(Z4:Z7)</f>
        <v>-518825.3147929446</v>
      </c>
      <c r="AA8" s="8">
        <f>SUM(AA4:AA7)</f>
        <v>-520037.1976627681</v>
      </c>
      <c r="AB8" s="8">
        <f>SUM(AB4:AB7)</f>
        <v>-509029.3776043374</v>
      </c>
      <c r="AC8" s="8">
        <f>SUM(AC4:AC7)</f>
        <v>-511924.48704444594</v>
      </c>
      <c r="AD8" s="8">
        <f>SUM(AD4:AD7)</f>
        <v>-538720.099220557</v>
      </c>
      <c r="AE8" s="8">
        <f>SUM(AE4:AE7)</f>
        <v>-546413.726701071</v>
      </c>
      <c r="AF8" s="8">
        <f>SUM(AF4:AF7)</f>
        <v>-539476.5675244075</v>
      </c>
      <c r="AG8" s="8">
        <f>SUM(AG4:AG7)</f>
        <v>-570611.0177095027</v>
      </c>
      <c r="AH8" s="8">
        <f>SUM(AH4:AH7)</f>
        <v>-573056.8844994453</v>
      </c>
      <c r="AI8" s="8">
        <f>SUM(AI4:AI7)</f>
        <v>-575316.4316119316</v>
      </c>
      <c r="AJ8" s="8">
        <f>SUM(AJ4:AJ7)</f>
        <v>-582460.5924022298</v>
      </c>
      <c r="AK8" s="8">
        <f>SUM(AK4:AK7)</f>
        <v>-589486.4822122855</v>
      </c>
    </row>
    <row r="9" spans="1:37">
      <c r="A9" t="s">
        <v>57</v>
      </c>
      <c r="B9" s="3">
        <f>-Inputs!$B$11</f>
        <v>-12000</v>
      </c>
      <c r="C9" s="3">
        <f>-Inputs!$B$11</f>
        <v>-12000</v>
      </c>
      <c r="D9" s="3">
        <f>-Inputs!$B$11</f>
        <v>-12000</v>
      </c>
      <c r="E9" s="3">
        <f>-Inputs!$B$11</f>
        <v>-12000</v>
      </c>
      <c r="F9" s="3">
        <f>-Inputs!$B$11</f>
        <v>-12000</v>
      </c>
      <c r="G9" s="3">
        <f>-Inputs!$B$11</f>
        <v>-12000</v>
      </c>
      <c r="H9" s="3">
        <f>-Inputs!$B$11</f>
        <v>-12000</v>
      </c>
      <c r="I9" s="3">
        <f>-Inputs!$B$11</f>
        <v>-12000</v>
      </c>
      <c r="J9" s="3">
        <f>-Inputs!$B$11</f>
        <v>-12000</v>
      </c>
      <c r="K9" s="3">
        <f>-Inputs!$B$11</f>
        <v>-12000</v>
      </c>
      <c r="L9" s="3">
        <f>-Inputs!$B$11</f>
        <v>-12000</v>
      </c>
      <c r="M9" s="3">
        <f>-Inputs!$B$11</f>
        <v>-12000</v>
      </c>
      <c r="N9" s="3">
        <f>-Inputs!$B$11</f>
        <v>-12000</v>
      </c>
      <c r="O9" s="3">
        <f>-Inputs!$B$11</f>
        <v>-12000</v>
      </c>
      <c r="P9" s="3">
        <f>-Inputs!$B$11</f>
        <v>-12000</v>
      </c>
      <c r="Q9" s="3">
        <f>-Inputs!$B$11</f>
        <v>-12000</v>
      </c>
      <c r="R9" s="3">
        <f>-Inputs!$B$11</f>
        <v>-12000</v>
      </c>
      <c r="S9" s="3">
        <f>-Inputs!$B$11</f>
        <v>-12000</v>
      </c>
      <c r="T9" s="3">
        <f>-Inputs!$B$11</f>
        <v>-12000</v>
      </c>
      <c r="U9" s="3">
        <f>-Inputs!$B$11</f>
        <v>-12000</v>
      </c>
      <c r="V9" s="3">
        <f>-Inputs!$B$11</f>
        <v>-12000</v>
      </c>
      <c r="W9" s="3">
        <f>-Inputs!$B$11</f>
        <v>-12000</v>
      </c>
      <c r="X9" s="3">
        <f>-Inputs!$B$11</f>
        <v>-12000</v>
      </c>
      <c r="Y9" s="3">
        <f>-Inputs!$B$11</f>
        <v>-12000</v>
      </c>
      <c r="Z9" s="3">
        <f>-Inputs!$B$11</f>
        <v>-12000</v>
      </c>
      <c r="AA9" s="3">
        <f>-Inputs!$B$11</f>
        <v>-12000</v>
      </c>
      <c r="AB9" s="3">
        <f>-Inputs!$B$11</f>
        <v>-12000</v>
      </c>
      <c r="AC9" s="3">
        <f>-Inputs!$B$11</f>
        <v>-12000</v>
      </c>
      <c r="AD9" s="3">
        <f>-Inputs!$B$11</f>
        <v>-12000</v>
      </c>
      <c r="AE9" s="3">
        <f>-Inputs!$B$11</f>
        <v>-12000</v>
      </c>
      <c r="AF9" s="3">
        <f>-Inputs!$B$11</f>
        <v>-12000</v>
      </c>
      <c r="AG9" s="3">
        <f>-Inputs!$B$11</f>
        <v>-12000</v>
      </c>
      <c r="AH9" s="3">
        <f>-Inputs!$B$11</f>
        <v>-12000</v>
      </c>
      <c r="AI9" s="3">
        <f>-Inputs!$B$11</f>
        <v>-12000</v>
      </c>
      <c r="AJ9" s="3">
        <f>-Inputs!$B$11</f>
        <v>-12000</v>
      </c>
      <c r="AK9" s="3">
        <f>-Inputs!$B$11</f>
        <v>-12000</v>
      </c>
    </row>
    <row r="10" spans="1:37">
      <c r="A10" t="s">
        <v>58</v>
      </c>
      <c r="B10" s="3">
        <f>B9</f>
        <v>-12000</v>
      </c>
      <c r="C10" s="3">
        <f>C9</f>
        <v>-12000</v>
      </c>
      <c r="D10" s="3">
        <f>D9</f>
        <v>-12000</v>
      </c>
      <c r="E10" s="3">
        <f>E9</f>
        <v>-12000</v>
      </c>
      <c r="F10" s="3">
        <f>F9</f>
        <v>-12000</v>
      </c>
      <c r="G10" s="3">
        <f>G9</f>
        <v>-12000</v>
      </c>
      <c r="H10" s="3">
        <f>H9</f>
        <v>-12000</v>
      </c>
      <c r="I10" s="3">
        <f>I9</f>
        <v>-12000</v>
      </c>
      <c r="J10" s="3">
        <f>J9</f>
        <v>-12000</v>
      </c>
      <c r="K10" s="3">
        <f>K9</f>
        <v>-12000</v>
      </c>
      <c r="L10" s="3">
        <f>L9</f>
        <v>-12000</v>
      </c>
      <c r="M10" s="3">
        <f>M9</f>
        <v>-12000</v>
      </c>
      <c r="N10" s="3">
        <f>N9</f>
        <v>-12000</v>
      </c>
      <c r="O10" s="3">
        <f>O9</f>
        <v>-12000</v>
      </c>
      <c r="P10" s="3">
        <f>P9</f>
        <v>-12000</v>
      </c>
      <c r="Q10" s="3">
        <f>Q9</f>
        <v>-12000</v>
      </c>
      <c r="R10" s="3">
        <f>R9</f>
        <v>-12000</v>
      </c>
      <c r="S10" s="3">
        <f>S9</f>
        <v>-12000</v>
      </c>
      <c r="T10" s="3">
        <f>T9</f>
        <v>-12000</v>
      </c>
      <c r="U10" s="3">
        <f>U9</f>
        <v>-12000</v>
      </c>
      <c r="V10" s="3">
        <f>V9</f>
        <v>-12000</v>
      </c>
      <c r="W10" s="3">
        <f>W9</f>
        <v>-12000</v>
      </c>
      <c r="X10" s="3">
        <f>X9</f>
        <v>-12000</v>
      </c>
      <c r="Y10" s="3">
        <f>Y9</f>
        <v>-12000</v>
      </c>
      <c r="Z10" s="3">
        <f>Z9</f>
        <v>-12000</v>
      </c>
      <c r="AA10" s="3">
        <f>AA9</f>
        <v>-12000</v>
      </c>
      <c r="AB10" s="3">
        <f>AB9</f>
        <v>-12000</v>
      </c>
      <c r="AC10" s="3">
        <f>AC9</f>
        <v>-12000</v>
      </c>
      <c r="AD10" s="3">
        <f>AD9</f>
        <v>-12000</v>
      </c>
      <c r="AE10" s="3">
        <f>AE9</f>
        <v>-12000</v>
      </c>
      <c r="AF10" s="3">
        <f>AF9</f>
        <v>-12000</v>
      </c>
      <c r="AG10" s="3">
        <f>AG9</f>
        <v>-12000</v>
      </c>
      <c r="AH10" s="3">
        <f>AH9</f>
        <v>-12000</v>
      </c>
      <c r="AI10" s="3">
        <f>AI9</f>
        <v>-12000</v>
      </c>
      <c r="AJ10" s="3">
        <f>AJ9</f>
        <v>-12000</v>
      </c>
      <c r="AK10" s="3">
        <f>AK9</f>
        <v>-12000</v>
      </c>
    </row>
    <row r="11" spans="1:37">
      <c r="A11" t="s">
        <v>59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15000000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</row>
    <row r="12" spans="1:37">
      <c r="A12" t="s">
        <v>60</v>
      </c>
      <c r="B12" s="3">
        <f>B11</f>
        <v>0</v>
      </c>
      <c r="C12" s="3">
        <f>C11</f>
        <v>0</v>
      </c>
      <c r="D12" s="3">
        <f>D11</f>
        <v>0</v>
      </c>
      <c r="E12" s="3">
        <f>E11</f>
        <v>0</v>
      </c>
      <c r="F12" s="3">
        <f>F11</f>
        <v>0</v>
      </c>
      <c r="G12" s="3">
        <f>G11</f>
        <v>0</v>
      </c>
      <c r="H12" s="3">
        <f>H11</f>
        <v>0</v>
      </c>
      <c r="I12" s="3">
        <f>I11</f>
        <v>0</v>
      </c>
      <c r="J12" s="3">
        <f>J11</f>
        <v>0</v>
      </c>
      <c r="K12" s="3">
        <f>K11</f>
        <v>0</v>
      </c>
      <c r="L12" s="3">
        <f>L11</f>
        <v>0</v>
      </c>
      <c r="M12" s="3">
        <f>M11</f>
        <v>0</v>
      </c>
      <c r="N12" s="3">
        <f>N11</f>
        <v>0</v>
      </c>
      <c r="O12" s="3">
        <f>O11</f>
        <v>0</v>
      </c>
      <c r="P12" s="3">
        <f>P11</f>
        <v>15000000</v>
      </c>
      <c r="Q12" s="3">
        <f>Q11</f>
        <v>0</v>
      </c>
      <c r="R12" s="3">
        <f>R11</f>
        <v>0</v>
      </c>
      <c r="S12" s="3">
        <f>S11</f>
        <v>0</v>
      </c>
      <c r="T12" s="3">
        <f>T11</f>
        <v>0</v>
      </c>
      <c r="U12" s="3">
        <f>U11</f>
        <v>0</v>
      </c>
      <c r="V12" s="3">
        <f>V11</f>
        <v>0</v>
      </c>
      <c r="W12" s="3">
        <f>W11</f>
        <v>0</v>
      </c>
      <c r="X12" s="3">
        <f>X11</f>
        <v>0</v>
      </c>
      <c r="Y12" s="3">
        <f>Y11</f>
        <v>0</v>
      </c>
      <c r="Z12" s="3">
        <f>Z11</f>
        <v>0</v>
      </c>
      <c r="AA12" s="3">
        <f>AA11</f>
        <v>0</v>
      </c>
      <c r="AB12" s="3">
        <f>AB11</f>
        <v>0</v>
      </c>
      <c r="AC12" s="3">
        <f>AC11</f>
        <v>0</v>
      </c>
      <c r="AD12" s="3">
        <f>AD11</f>
        <v>0</v>
      </c>
      <c r="AE12" s="3">
        <f>AE11</f>
        <v>0</v>
      </c>
      <c r="AF12" s="3">
        <f>AF11</f>
        <v>0</v>
      </c>
      <c r="AG12" s="3">
        <f>AG11</f>
        <v>0</v>
      </c>
      <c r="AH12" s="3">
        <f>AH11</f>
        <v>0</v>
      </c>
      <c r="AI12" s="3">
        <f>AI11</f>
        <v>0</v>
      </c>
      <c r="AJ12" s="3">
        <f>AJ11</f>
        <v>0</v>
      </c>
      <c r="AK12" s="3">
        <f>AK11</f>
        <v>0</v>
      </c>
    </row>
    <row r="13" spans="1:37">
      <c r="A13" t="s">
        <v>61</v>
      </c>
      <c r="B13" s="8">
        <f>B8+B10+B12</f>
        <v>-179065.0</v>
      </c>
      <c r="C13" s="8">
        <f>C8+C10+C12</f>
        <v>-337600.5</v>
      </c>
      <c r="D13" s="8">
        <f>D8+D10+D12</f>
        <v>-361449.5</v>
      </c>
      <c r="E13" s="8">
        <f>E8+E10+E12</f>
        <v>-363207.0</v>
      </c>
      <c r="F13" s="8">
        <f>F8+F10+F12</f>
        <v>-359974.5</v>
      </c>
      <c r="G13" s="8">
        <f>G8+G10+G12</f>
        <v>-387622.0</v>
      </c>
      <c r="H13" s="8">
        <f>H8+H10+H12</f>
        <v>-388926.5</v>
      </c>
      <c r="I13" s="8">
        <f>I8+I10+I12</f>
        <v>-389422.0</v>
      </c>
      <c r="J13" s="8">
        <f>J8+J10+J12</f>
        <v>-406978.33800000005</v>
      </c>
      <c r="K13" s="8">
        <f>K8+K10+K12</f>
        <v>-410461.85945000005</v>
      </c>
      <c r="L13" s="8">
        <f>L8+L10+L12</f>
        <v>-414655.90593625</v>
      </c>
      <c r="M13" s="8">
        <f>M8+M10+M12</f>
        <v>-423782.92858465615</v>
      </c>
      <c r="N13" s="8">
        <f>N8+N10+N12</f>
        <v>-427942.72509864945</v>
      </c>
      <c r="O13" s="8">
        <f>O8+O10+O12</f>
        <v>-413962.6923083868</v>
      </c>
      <c r="P13" s="8">
        <f>P8+P10+P12</f>
        <v>14556530.112953389</v>
      </c>
      <c r="Q13" s="8">
        <f>Q8+Q10+Q12</f>
        <v>-456911.63422277616</v>
      </c>
      <c r="R13" s="8">
        <f>R8+R10+R12</f>
        <v>-460677.5500783455</v>
      </c>
      <c r="S13" s="8">
        <f>S8+S10+S12</f>
        <v>-469365.7388303042</v>
      </c>
      <c r="T13" s="8">
        <f>T8+T10+T12</f>
        <v>-477974.2573010617</v>
      </c>
      <c r="U13" s="8">
        <f>U8+U10+U12</f>
        <v>-486501.11373358825</v>
      </c>
      <c r="V13" s="8">
        <f>V8+V10+V12</f>
        <v>-494944.2665769281</v>
      </c>
      <c r="W13" s="8">
        <f>W8+W10+W12</f>
        <v>-498301.6232413511</v>
      </c>
      <c r="X13" s="8">
        <f>X8+X10+X12</f>
        <v>-478233.067610231</v>
      </c>
      <c r="Y13" s="8">
        <f>Y8+Y10+Y12</f>
        <v>-496840.60138226</v>
      </c>
      <c r="Z13" s="8">
        <f>Z8+Z10+Z12</f>
        <v>-530825.3147929446</v>
      </c>
      <c r="AA13" s="8">
        <f>AA8+AA10+AA12</f>
        <v>-532037.1976627682</v>
      </c>
      <c r="AB13" s="8">
        <f>AB8+AB10+AB12</f>
        <v>-521029.3776043374</v>
      </c>
      <c r="AC13" s="8">
        <f>AC8+AC10+AC12</f>
        <v>-523924.48704444594</v>
      </c>
      <c r="AD13" s="8">
        <f>AD8+AD10+AD12</f>
        <v>-550720.099220557</v>
      </c>
      <c r="AE13" s="8">
        <f>AE8+AE10+AE12</f>
        <v>-558413.726701071</v>
      </c>
      <c r="AF13" s="8">
        <f>AF8+AF10+AF12</f>
        <v>-551476.5675244075</v>
      </c>
      <c r="AG13" s="8">
        <f>AG8+AG10+AG12</f>
        <v>-582611.0177095027</v>
      </c>
      <c r="AH13" s="8">
        <f>AH8+AH10+AH12</f>
        <v>-585056.8844994453</v>
      </c>
      <c r="AI13" s="8">
        <f>AI8+AI10+AI12</f>
        <v>-587316.4316119316</v>
      </c>
      <c r="AJ13" s="8">
        <f>AJ8+AJ10+AJ12</f>
        <v>-594460.5924022298</v>
      </c>
      <c r="AK13" s="8">
        <f>AK8+AK10+AK12</f>
        <v>-601486.4822122855</v>
      </c>
    </row>
    <row r="14" spans="1:37">
      <c r="A14" t="s">
        <v>62</v>
      </c>
      <c r="B14" s="3">
        <f>Inputs!$B$17</f>
        <v>6200000</v>
      </c>
      <c r="C14" s="3">
        <f>B15</f>
        <v>6020935.0</v>
      </c>
      <c r="D14" s="3">
        <f>C15</f>
        <v>5683334.5</v>
      </c>
      <c r="E14" s="3">
        <f>D15</f>
        <v>5321885.0</v>
      </c>
      <c r="F14" s="3">
        <f>E15</f>
        <v>4958678.0</v>
      </c>
      <c r="G14" s="3">
        <f>F15</f>
        <v>4598703.5</v>
      </c>
      <c r="H14" s="3">
        <f>G15</f>
        <v>4211081.5</v>
      </c>
      <c r="I14" s="3">
        <f>H15</f>
        <v>3822155.0</v>
      </c>
      <c r="J14" s="3">
        <f>I15</f>
        <v>3432733.0</v>
      </c>
      <c r="K14" s="3">
        <f>J15</f>
        <v>3025754.662</v>
      </c>
      <c r="L14" s="3">
        <f>K15</f>
        <v>2615292.80255</v>
      </c>
      <c r="M14" s="3">
        <f>L15</f>
        <v>2200636.89661375</v>
      </c>
      <c r="N14" s="3">
        <f>M15</f>
        <v>1776853.968029094</v>
      </c>
      <c r="O14" s="3">
        <f>N15</f>
        <v>1348911.2429304444</v>
      </c>
      <c r="P14" s="3">
        <f>O15</f>
        <v>934948.5506220576</v>
      </c>
      <c r="Q14" s="3">
        <f>P15</f>
        <v>15491478.663575446</v>
      </c>
      <c r="R14" s="3">
        <f>Q15</f>
        <v>15034567.02935267</v>
      </c>
      <c r="S14" s="3">
        <f>R15</f>
        <v>14573889.479274325</v>
      </c>
      <c r="T14" s="3">
        <f>S15</f>
        <v>14104523.740444021</v>
      </c>
      <c r="U14" s="3">
        <f>T15</f>
        <v>13626549.483142959</v>
      </c>
      <c r="V14" s="3">
        <f>U15</f>
        <v>13140048.369409371</v>
      </c>
      <c r="W14" s="3">
        <f>V15</f>
        <v>12645104.102832444</v>
      </c>
      <c r="X14" s="3">
        <f>W15</f>
        <v>12146802.479591092</v>
      </c>
      <c r="Y14" s="3">
        <f>X15</f>
        <v>11668569.411980862</v>
      </c>
      <c r="Z14" s="3">
        <f>Y15</f>
        <v>11171728.810598603</v>
      </c>
      <c r="AA14" s="3">
        <f>Z15</f>
        <v>10640903.495805658</v>
      </c>
      <c r="AB14" s="3">
        <f>AA15</f>
        <v>10108866.29814289</v>
      </c>
      <c r="AC14" s="3">
        <f>AB15</f>
        <v>9587836.920538552</v>
      </c>
      <c r="AD14" s="3">
        <f>AC15</f>
        <v>9063912.433494106</v>
      </c>
      <c r="AE14" s="3">
        <f>AD15</f>
        <v>8513192.334273549</v>
      </c>
      <c r="AF14" s="3">
        <f>AE15</f>
        <v>7954778.607572477</v>
      </c>
      <c r="AG14" s="3">
        <f>AF15</f>
        <v>7403302.04004807</v>
      </c>
      <c r="AH14" s="3">
        <f>AG15</f>
        <v>6820691.022338567</v>
      </c>
      <c r="AI14" s="3">
        <f>AH15</f>
        <v>6235634.137839122</v>
      </c>
      <c r="AJ14" s="3">
        <f>AI15</f>
        <v>5648317.70622719</v>
      </c>
      <c r="AK14" s="3">
        <f>AJ15</f>
        <v>5053857.11382496</v>
      </c>
    </row>
    <row r="15" spans="1:37">
      <c r="A15" t="s">
        <v>63</v>
      </c>
      <c r="B15" s="8">
        <f>B14+B13</f>
        <v>6020935.0</v>
      </c>
      <c r="C15" s="8">
        <f>C14+C13</f>
        <v>5683334.5</v>
      </c>
      <c r="D15" s="8">
        <f>D14+D13</f>
        <v>5321885.0</v>
      </c>
      <c r="E15" s="8">
        <f>E14+E13</f>
        <v>4958678.0</v>
      </c>
      <c r="F15" s="8">
        <f>F14+F13</f>
        <v>4598703.5</v>
      </c>
      <c r="G15" s="8">
        <f>G14+G13</f>
        <v>4211081.5</v>
      </c>
      <c r="H15" s="8">
        <f>H14+H13</f>
        <v>3822155.0</v>
      </c>
      <c r="I15" s="8">
        <f>I14+I13</f>
        <v>3432733.0</v>
      </c>
      <c r="J15" s="8">
        <f>J14+J13</f>
        <v>3025754.662</v>
      </c>
      <c r="K15" s="8">
        <f>K14+K13</f>
        <v>2615292.80255</v>
      </c>
      <c r="L15" s="8">
        <f>L14+L13</f>
        <v>2200636.89661375</v>
      </c>
      <c r="M15" s="8">
        <f>M14+M13</f>
        <v>1776853.968029094</v>
      </c>
      <c r="N15" s="8">
        <f>N14+N13</f>
        <v>1348911.2429304444</v>
      </c>
      <c r="O15" s="8">
        <f>O14+O13</f>
        <v>934948.5506220576</v>
      </c>
      <c r="P15" s="8">
        <f>P14+P13</f>
        <v>15491478.663575446</v>
      </c>
      <c r="Q15" s="8">
        <f>Q14+Q13</f>
        <v>15034567.02935267</v>
      </c>
      <c r="R15" s="8">
        <f>R14+R13</f>
        <v>14573889.479274325</v>
      </c>
      <c r="S15" s="8">
        <f>S14+S13</f>
        <v>14104523.740444021</v>
      </c>
      <c r="T15" s="8">
        <f>T14+T13</f>
        <v>13626549.483142959</v>
      </c>
      <c r="U15" s="8">
        <f>U14+U13</f>
        <v>13140048.369409371</v>
      </c>
      <c r="V15" s="8">
        <f>V14+V13</f>
        <v>12645104.102832444</v>
      </c>
      <c r="W15" s="8">
        <f>W14+W13</f>
        <v>12146802.479591092</v>
      </c>
      <c r="X15" s="8">
        <f>X14+X13</f>
        <v>11668569.411980862</v>
      </c>
      <c r="Y15" s="8">
        <f>Y14+Y13</f>
        <v>11171728.810598603</v>
      </c>
      <c r="Z15" s="8">
        <f>Z14+Z13</f>
        <v>10640903.495805658</v>
      </c>
      <c r="AA15" s="8">
        <f>AA14+AA13</f>
        <v>10108866.29814289</v>
      </c>
      <c r="AB15" s="8">
        <f>AB14+AB13</f>
        <v>9587836.920538552</v>
      </c>
      <c r="AC15" s="8">
        <f>AC14+AC13</f>
        <v>9063912.433494106</v>
      </c>
      <c r="AD15" s="8">
        <f>AD14+AD13</f>
        <v>8513192.334273549</v>
      </c>
      <c r="AE15" s="8">
        <f>AE14+AE13</f>
        <v>7954778.607572477</v>
      </c>
      <c r="AF15" s="8">
        <f>AF14+AF13</f>
        <v>7403302.04004807</v>
      </c>
      <c r="AG15" s="8">
        <f>AG14+AG13</f>
        <v>6820691.022338567</v>
      </c>
      <c r="AH15" s="8">
        <f>AH14+AH13</f>
        <v>6235634.137839122</v>
      </c>
      <c r="AI15" s="8">
        <f>AI14+AI13</f>
        <v>5648317.70622719</v>
      </c>
      <c r="AJ15" s="8">
        <f>AJ14+AJ13</f>
        <v>5053857.11382496</v>
      </c>
      <c r="AK15" s="8">
        <f>AK14+AK13</f>
        <v>4452370.631612674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37" width="12.7109375" customWidth="1"/>
  </cols>
  <sheetData>
    <row r="1" spans="1:37">
      <c r="A1" s="1" t="s">
        <v>64</v>
      </c>
    </row>
    <row r="2" spans="1:37">
      <c r="A2" s="6" t="s">
        <v>35</v>
      </c>
      <c r="B2" s="6">
        <v>46023</v>
      </c>
      <c r="C2" s="6">
        <v>46054</v>
      </c>
      <c r="D2" s="6">
        <v>46082</v>
      </c>
      <c r="E2" s="6">
        <v>46113</v>
      </c>
      <c r="F2" s="6">
        <v>46143</v>
      </c>
      <c r="G2" s="6">
        <v>46174</v>
      </c>
      <c r="H2" s="6">
        <v>46204</v>
      </c>
      <c r="I2" s="6">
        <v>46235</v>
      </c>
      <c r="J2" s="6">
        <v>46266</v>
      </c>
      <c r="K2" s="6">
        <v>46296</v>
      </c>
      <c r="L2" s="6">
        <v>46327</v>
      </c>
      <c r="M2" s="6">
        <v>46357</v>
      </c>
      <c r="N2" s="6">
        <v>46388</v>
      </c>
      <c r="O2" s="6">
        <v>46419</v>
      </c>
      <c r="P2" s="6">
        <v>46447</v>
      </c>
      <c r="Q2" s="6">
        <v>46478</v>
      </c>
      <c r="R2" s="6">
        <v>46508</v>
      </c>
      <c r="S2" s="6">
        <v>46539</v>
      </c>
      <c r="T2" s="6">
        <v>46569</v>
      </c>
      <c r="U2" s="6">
        <v>46600</v>
      </c>
      <c r="V2" s="6">
        <v>46631</v>
      </c>
      <c r="W2" s="6">
        <v>46661</v>
      </c>
      <c r="X2" s="6">
        <v>46692</v>
      </c>
      <c r="Y2" s="6">
        <v>46722</v>
      </c>
      <c r="Z2" s="6">
        <v>46753</v>
      </c>
      <c r="AA2" s="6">
        <v>46784</v>
      </c>
      <c r="AB2" s="6">
        <v>46813</v>
      </c>
      <c r="AC2" s="6">
        <v>46844</v>
      </c>
      <c r="AD2" s="6">
        <v>46874</v>
      </c>
      <c r="AE2" s="6">
        <v>46905</v>
      </c>
      <c r="AF2" s="6">
        <v>46935</v>
      </c>
      <c r="AG2" s="6">
        <v>46966</v>
      </c>
      <c r="AH2" s="6">
        <v>46997</v>
      </c>
      <c r="AI2" s="6">
        <v>47027</v>
      </c>
      <c r="AJ2" s="6">
        <v>47058</v>
      </c>
      <c r="AK2" s="6">
        <v>47088</v>
      </c>
    </row>
    <row r="4" spans="1:37">
      <c r="A4" t="s">
        <v>65</v>
      </c>
      <c r="B4" s="3">
        <f>'Cash Flow'!B15</f>
        <v>6020935.0</v>
      </c>
      <c r="C4" s="3">
        <f>'Cash Flow'!C15</f>
        <v>5683334.5</v>
      </c>
      <c r="D4" s="3">
        <f>'Cash Flow'!D15</f>
        <v>5321885.0</v>
      </c>
      <c r="E4" s="3">
        <f>'Cash Flow'!E15</f>
        <v>4958678.0</v>
      </c>
      <c r="F4" s="3">
        <f>'Cash Flow'!F15</f>
        <v>4598703.5</v>
      </c>
      <c r="G4" s="3">
        <f>'Cash Flow'!G15</f>
        <v>4211081.5</v>
      </c>
      <c r="H4" s="3">
        <f>'Cash Flow'!H15</f>
        <v>3822155.0</v>
      </c>
      <c r="I4" s="3">
        <f>'Cash Flow'!I15</f>
        <v>3432733.0</v>
      </c>
      <c r="J4" s="3">
        <f>'Cash Flow'!J15</f>
        <v>3025754.662</v>
      </c>
      <c r="K4" s="3">
        <f>'Cash Flow'!K15</f>
        <v>2615292.80255</v>
      </c>
      <c r="L4" s="3">
        <f>'Cash Flow'!L15</f>
        <v>2200636.89661375</v>
      </c>
      <c r="M4" s="3">
        <f>'Cash Flow'!M15</f>
        <v>1776853.968029094</v>
      </c>
      <c r="N4" s="3">
        <f>'Cash Flow'!N15</f>
        <v>1348911.2429304444</v>
      </c>
      <c r="O4" s="3">
        <f>'Cash Flow'!O15</f>
        <v>934948.5506220576</v>
      </c>
      <c r="P4" s="3">
        <f>'Cash Flow'!P15</f>
        <v>15491478.663575446</v>
      </c>
      <c r="Q4" s="3">
        <f>'Cash Flow'!Q15</f>
        <v>15034567.02935267</v>
      </c>
      <c r="R4" s="3">
        <v>14600000</v>
      </c>
      <c r="S4" s="3">
        <f>'Cash Flow'!S15</f>
        <v>14104523.740444021</v>
      </c>
      <c r="T4" s="3">
        <f>'Cash Flow'!T15</f>
        <v>13626549.483142959</v>
      </c>
      <c r="U4" s="3">
        <f>'Cash Flow'!U15</f>
        <v>13140048.369409371</v>
      </c>
      <c r="V4" s="3">
        <f>'Cash Flow'!V15</f>
        <v>12645104.102832444</v>
      </c>
      <c r="W4" s="3">
        <f>'Cash Flow'!W15</f>
        <v>12146802.479591092</v>
      </c>
      <c r="X4" s="3">
        <f>'Cash Flow'!X15</f>
        <v>11668569.411980862</v>
      </c>
      <c r="Y4" s="3">
        <f>'Cash Flow'!Y15</f>
        <v>11171728.810598603</v>
      </c>
      <c r="Z4" s="3">
        <f>'Cash Flow'!Z15</f>
        <v>10640903.495805658</v>
      </c>
      <c r="AA4" s="3">
        <f>'Cash Flow'!AA15</f>
        <v>10108866.29814289</v>
      </c>
      <c r="AB4" s="3">
        <f>'Cash Flow'!AB15</f>
        <v>9587836.920538552</v>
      </c>
      <c r="AC4" s="3">
        <f>'Cash Flow'!AC15</f>
        <v>9063912.433494106</v>
      </c>
      <c r="AD4" s="3">
        <f>'Cash Flow'!AD15</f>
        <v>8513192.334273549</v>
      </c>
      <c r="AE4" s="3">
        <f>'Cash Flow'!AE15</f>
        <v>7954778.607572477</v>
      </c>
      <c r="AF4" s="3">
        <f>'Cash Flow'!AF15</f>
        <v>7403302.04004807</v>
      </c>
      <c r="AG4" s="3">
        <f>'Cash Flow'!AG15</f>
        <v>6820691.022338567</v>
      </c>
      <c r="AH4" s="3">
        <f>'Cash Flow'!AH15</f>
        <v>6235634.137839122</v>
      </c>
      <c r="AI4" s="3">
        <f>'Cash Flow'!AI15</f>
        <v>5648317.70622719</v>
      </c>
      <c r="AJ4" s="3">
        <f>'Cash Flow'!AJ15</f>
        <v>5053857.11382496</v>
      </c>
      <c r="AK4" s="3">
        <f>'Cash Flow'!AK15</f>
        <v>4452370.631612674</v>
      </c>
    </row>
    <row r="5" spans="1:37">
      <c r="A5" t="s">
        <v>66</v>
      </c>
      <c r="B5" s="3">
        <f>'P&amp;L'!B4*Inputs!$B$13</f>
        <v>191756</v>
      </c>
      <c r="C5" s="3">
        <f>'P&amp;L'!C4*Inputs!$B$13</f>
        <v>196164</v>
      </c>
      <c r="D5" s="3">
        <f>'P&amp;L'!D4*Inputs!$B$13</f>
        <v>198653</v>
      </c>
      <c r="E5" s="3">
        <f>'P&amp;L'!E4*Inputs!$B$13</f>
        <v>206350</v>
      </c>
      <c r="F5" s="3">
        <f>'P&amp;L'!F4*Inputs!$B$13</f>
        <v>210722</v>
      </c>
      <c r="G5" s="3">
        <f>'P&amp;L'!G4*Inputs!$B$13</f>
        <v>218234</v>
      </c>
      <c r="H5" s="3">
        <f>'P&amp;L'!H4*Inputs!$B$13</f>
        <v>220543</v>
      </c>
      <c r="I5" s="3">
        <f>'P&amp;L'!I4*Inputs!$B$13</f>
        <v>225613</v>
      </c>
      <c r="J5" s="3">
        <f>'P&amp;L'!J4*Inputs!$B$13</f>
        <v>232543.80000000002</v>
      </c>
      <c r="K5" s="3">
        <f>'P&amp;L'!K4*Inputs!$B$13</f>
        <v>238357.39500000002</v>
      </c>
      <c r="L5" s="3">
        <f>'P&amp;L'!L4*Inputs!$B$13</f>
        <v>244316.32987500002</v>
      </c>
      <c r="M5" s="3">
        <f>'P&amp;L'!M4*Inputs!$B$13</f>
        <v>250424.238121875</v>
      </c>
      <c r="N5" s="3">
        <f>'P&amp;L'!N4*Inputs!$B$13</f>
        <v>274652.7831601664</v>
      </c>
      <c r="O5" s="3">
        <f>'P&amp;L'!O4*Inputs!$B$13</f>
        <v>263101.9651767949</v>
      </c>
      <c r="P5" s="3">
        <f>'P&amp;L'!P4*Inputs!$B$13</f>
        <v>269679.51430621475</v>
      </c>
      <c r="Q5" s="3">
        <f>'P&amp;L'!Q4*Inputs!$B$13</f>
        <v>276421.50216387014</v>
      </c>
      <c r="R5" s="3">
        <f>'P&amp;L'!R4*Inputs!$B$13</f>
        <v>283332.03971796687</v>
      </c>
      <c r="S5" s="3">
        <f>'P&amp;L'!S4*Inputs!$B$13</f>
        <v>290415.3407109161</v>
      </c>
      <c r="T5" s="3">
        <f>'P&amp;L'!T4*Inputs!$B$13</f>
        <v>297675.724228689</v>
      </c>
      <c r="U5" s="3">
        <f>'P&amp;L'!U4*Inputs!$B$13</f>
        <v>305117.6173344062</v>
      </c>
      <c r="V5" s="3">
        <f>'P&amp;L'!V4*Inputs!$B$13</f>
        <v>312745.55776776635</v>
      </c>
      <c r="W5" s="3">
        <f>'P&amp;L'!W4*Inputs!$B$13</f>
        <v>320564.19671196054</v>
      </c>
      <c r="X5" s="3">
        <f>'P&amp;L'!X4*Inputs!$B$13</f>
        <v>320564.19671196054</v>
      </c>
      <c r="Y5" s="3">
        <f>'P&amp;L'!Y4*Inputs!$B$13</f>
        <v>328578.30162975955</v>
      </c>
      <c r="Z5" s="3">
        <f>'P&amp;L'!Z4*Inputs!$B$13</f>
        <v>336792.7591705036</v>
      </c>
      <c r="AA5" s="3">
        <f>'P&amp;L'!AA4*Inputs!$B$13</f>
        <v>345212.5781497662</v>
      </c>
      <c r="AB5" s="3">
        <f>'P&amp;L'!AB4*Inputs!$B$13</f>
        <v>353842.89260351035</v>
      </c>
      <c r="AC5" s="3">
        <f>'P&amp;L'!AC4*Inputs!$B$13</f>
        <v>362688.9649185981</v>
      </c>
      <c r="AD5" s="3">
        <f>'P&amp;L'!AD4*Inputs!$B$13</f>
        <v>371756.1890415631</v>
      </c>
      <c r="AE5" s="3">
        <f>'P&amp;L'!AE4*Inputs!$B$13</f>
        <v>381050.0937676022</v>
      </c>
      <c r="AF5" s="3">
        <f>'P&amp;L'!AE4*Inputs!$B$13</f>
        <v>381050.0937676022</v>
      </c>
      <c r="AG5" s="3">
        <f>'P&amp;L'!AG4*Inputs!$B$13</f>
        <v>400340.7547645871</v>
      </c>
      <c r="AH5" s="3">
        <f>'P&amp;L'!AH4*Inputs!$B$13</f>
        <v>410349.2736337018</v>
      </c>
      <c r="AI5" s="3">
        <f>'P&amp;L'!AI4*Inputs!$B$13</f>
        <v>420608.00547454436</v>
      </c>
      <c r="AJ5" s="3">
        <f>'P&amp;L'!AJ4*Inputs!$B$13</f>
        <v>431123.205611408</v>
      </c>
      <c r="AK5" s="3">
        <f>'P&amp;L'!AK4*Inputs!$B$13</f>
        <v>441901.2857516932</v>
      </c>
    </row>
    <row r="6" spans="1:37">
      <c r="A6" t="s">
        <v>67</v>
      </c>
      <c r="B6" s="3">
        <f>Inputs!$B$19+Inputs!$B$11-'P&amp;L'!B12</f>
        <v>313000</v>
      </c>
      <c r="C6" s="3">
        <f>B6+Inputs!$B$11-'P&amp;L'!C12</f>
        <v>316000</v>
      </c>
      <c r="D6" s="3">
        <f>C6+Inputs!$B$11-'P&amp;L'!D12</f>
        <v>319000</v>
      </c>
      <c r="E6" s="3">
        <f>D6+Inputs!$B$11-'P&amp;L'!E12</f>
        <v>322000</v>
      </c>
      <c r="F6" s="3">
        <f>E6+Inputs!$B$11-'P&amp;L'!F12</f>
        <v>325000</v>
      </c>
      <c r="G6" s="3">
        <f>F6+Inputs!$B$11-'P&amp;L'!G12</f>
        <v>328000</v>
      </c>
      <c r="H6" s="3">
        <f>G6+Inputs!$B$11-'P&amp;L'!H12</f>
        <v>331000</v>
      </c>
      <c r="I6" s="3">
        <f>H6+Inputs!$B$11-'P&amp;L'!I12</f>
        <v>334000</v>
      </c>
      <c r="J6" s="3">
        <f>I6+Inputs!$B$11-'P&amp;L'!J12</f>
        <v>337000</v>
      </c>
      <c r="K6" s="3">
        <f>J6+Inputs!$B$11-'P&amp;L'!K12</f>
        <v>340000</v>
      </c>
      <c r="L6" s="3">
        <f>K6+Inputs!$B$11-'P&amp;L'!L12</f>
        <v>343000</v>
      </c>
      <c r="M6" s="3">
        <f>L6+Inputs!$B$11-'P&amp;L'!M12</f>
        <v>346000</v>
      </c>
      <c r="N6" s="3">
        <f>M6+Inputs!$B$11-'P&amp;L'!N12</f>
        <v>349000</v>
      </c>
      <c r="O6" s="3">
        <f>N6+Inputs!$B$11-'P&amp;L'!O12</f>
        <v>352000</v>
      </c>
      <c r="P6" s="3">
        <f>O6+Inputs!$B$11-'P&amp;L'!P12</f>
        <v>355000</v>
      </c>
      <c r="Q6" s="3">
        <f>P6+Inputs!$B$11-'P&amp;L'!Q12</f>
        <v>358000</v>
      </c>
      <c r="R6" s="3">
        <f>Q6+Inputs!$B$11-'P&amp;L'!R12</f>
        <v>361000</v>
      </c>
      <c r="S6" s="3">
        <f>R6+Inputs!$B$11-'P&amp;L'!S12</f>
        <v>364000</v>
      </c>
      <c r="T6" s="3">
        <f>S6+Inputs!$B$11-'P&amp;L'!T12</f>
        <v>367000</v>
      </c>
      <c r="U6" s="3">
        <f>T6+Inputs!$B$11-'P&amp;L'!U12</f>
        <v>370000</v>
      </c>
      <c r="V6" s="3">
        <f>U6+Inputs!$B$11-'P&amp;L'!V12</f>
        <v>373000</v>
      </c>
      <c r="W6" s="3">
        <f>V6+Inputs!$B$11-'P&amp;L'!W12</f>
        <v>376000</v>
      </c>
      <c r="X6" s="3">
        <f>W6+Inputs!$B$11-'P&amp;L'!X12</f>
        <v>379000</v>
      </c>
      <c r="Y6" s="3">
        <f>X6+Inputs!$B$11-'P&amp;L'!Y12</f>
        <v>382000</v>
      </c>
      <c r="Z6" s="3">
        <f>Y6+Inputs!$B$11-'P&amp;L'!Z12</f>
        <v>385000</v>
      </c>
      <c r="AA6" s="3">
        <f>Z6+Inputs!$B$11-'P&amp;L'!AA12</f>
        <v>388000</v>
      </c>
      <c r="AB6" s="3">
        <f>AA6+Inputs!$B$11-'P&amp;L'!AB12</f>
        <v>391000</v>
      </c>
      <c r="AC6" s="3">
        <f>AB6+Inputs!$B$11-'P&amp;L'!AC12</f>
        <v>394000</v>
      </c>
      <c r="AD6" s="3">
        <f>AC6+Inputs!$B$11-'P&amp;L'!AD12</f>
        <v>397000</v>
      </c>
      <c r="AE6" s="3">
        <f>AD6+Inputs!$B$11-'P&amp;L'!AE12</f>
        <v>400000</v>
      </c>
      <c r="AF6" s="3">
        <f>AE6+Inputs!$B$11-'P&amp;L'!AF12</f>
        <v>403000</v>
      </c>
      <c r="AG6" s="3">
        <f>AF6+Inputs!$B$11-'P&amp;L'!AG12</f>
        <v>406000</v>
      </c>
      <c r="AH6" s="3">
        <f>AG6+Inputs!$B$11-'P&amp;L'!AH12</f>
        <v>409000</v>
      </c>
      <c r="AI6" s="3">
        <f>AH6+Inputs!$B$11-'P&amp;L'!AI12</f>
        <v>412000</v>
      </c>
      <c r="AJ6" s="3">
        <f>AI6+Inputs!$B$11-'P&amp;L'!AJ12</f>
        <v>415000</v>
      </c>
      <c r="AK6" s="3">
        <f>AJ6+Inputs!$B$11-'P&amp;L'!AK12</f>
        <v>418000</v>
      </c>
    </row>
    <row r="7" spans="1:37">
      <c r="A7" t="s">
        <v>68</v>
      </c>
      <c r="B7" s="8">
        <f>SUM(B4:B6)</f>
        <v>6525691.0</v>
      </c>
      <c r="C7" s="8">
        <f>SUM(C4:C6)</f>
        <v>6195498.5</v>
      </c>
      <c r="D7" s="8">
        <f>SUM(D4:D6)</f>
        <v>5839538.0</v>
      </c>
      <c r="E7" s="8">
        <f>SUM(E4:E6)</f>
        <v>5487028.0</v>
      </c>
      <c r="F7" s="8">
        <f>SUM(F4:F6)</f>
        <v>5134425.5</v>
      </c>
      <c r="G7" s="8">
        <f>SUM(G4:G6)</f>
        <v>4757315.5</v>
      </c>
      <c r="H7" s="8">
        <f>SUM(H4:H6)</f>
        <v>4373698.0</v>
      </c>
      <c r="I7" s="8">
        <f>SUM(I4:I6)</f>
        <v>3992346.0</v>
      </c>
      <c r="J7" s="8">
        <f>SUM(J4:J6)</f>
        <v>3595298.462</v>
      </c>
      <c r="K7" s="8">
        <f>SUM(K4:K6)</f>
        <v>3193650.19755</v>
      </c>
      <c r="L7" s="8">
        <f>SUM(L4:L6)</f>
        <v>2787953.22648875</v>
      </c>
      <c r="M7" s="8">
        <f>SUM(M4:M6)</f>
        <v>2373278.206150969</v>
      </c>
      <c r="N7" s="8">
        <f>SUM(N4:N6)</f>
        <v>1972564.0260906108</v>
      </c>
      <c r="O7" s="8">
        <f>SUM(O4:O6)</f>
        <v>1550050.5157988525</v>
      </c>
      <c r="P7" s="8">
        <f>SUM(P4:P6)</f>
        <v>16116158.177881662</v>
      </c>
      <c r="Q7" s="8">
        <f>SUM(Q4:Q6)</f>
        <v>15668988.53151654</v>
      </c>
      <c r="R7" s="8">
        <f>SUM(R4:R6)</f>
        <v>15244332.039717967</v>
      </c>
      <c r="S7" s="8">
        <f>SUM(S4:S6)</f>
        <v>14758939.081154937</v>
      </c>
      <c r="T7" s="8">
        <f>SUM(T4:T6)</f>
        <v>14291225.207371648</v>
      </c>
      <c r="U7" s="8">
        <f>SUM(U4:U6)</f>
        <v>13815165.986743778</v>
      </c>
      <c r="V7" s="8">
        <f>SUM(V4:V6)</f>
        <v>13330849.66060021</v>
      </c>
      <c r="W7" s="8">
        <f>SUM(W4:W6)</f>
        <v>12843366.676303053</v>
      </c>
      <c r="X7" s="8">
        <f>SUM(X4:X6)</f>
        <v>12368133.608692823</v>
      </c>
      <c r="Y7" s="8">
        <f>SUM(Y4:Y6)</f>
        <v>11882307.112228362</v>
      </c>
      <c r="Z7" s="8">
        <f>SUM(Z4:Z6)</f>
        <v>11362696.254976163</v>
      </c>
      <c r="AA7" s="8">
        <f>SUM(AA4:AA6)</f>
        <v>10842078.876292655</v>
      </c>
      <c r="AB7" s="8">
        <f>SUM(AB4:AB6)</f>
        <v>10332679.813142063</v>
      </c>
      <c r="AC7" s="8">
        <f>SUM(AC4:AC6)</f>
        <v>9820601.398412704</v>
      </c>
      <c r="AD7" s="8">
        <f>SUM(AD4:AD6)</f>
        <v>9281948.523315111</v>
      </c>
      <c r="AE7" s="8">
        <f>SUM(AE4:AE6)</f>
        <v>8735828.70134008</v>
      </c>
      <c r="AF7" s="8">
        <f>SUM(AF4:AF6)</f>
        <v>8187352.133815672</v>
      </c>
      <c r="AG7" s="8">
        <f>SUM(AG4:AG6)</f>
        <v>7627031.777103154</v>
      </c>
      <c r="AH7" s="8">
        <f>SUM(AH4:AH6)</f>
        <v>7054983.4114728235</v>
      </c>
      <c r="AI7" s="8">
        <f>SUM(AI4:AI6)</f>
        <v>6480925.711701734</v>
      </c>
      <c r="AJ7" s="8">
        <f>SUM(AJ4:AJ6)</f>
        <v>5899980.319436368</v>
      </c>
      <c r="AK7" s="8">
        <f>SUM(AK4:AK6)</f>
        <v>5312271.917364367</v>
      </c>
    </row>
    <row r="9" spans="1:37">
      <c r="A9" t="s">
        <v>69</v>
      </c>
      <c r="B9" s="3">
        <f>('P&amp;L'!B5+'P&amp;L'!B10)*Inputs!$B$14</f>
        <v>250565.0</v>
      </c>
      <c r="C9" s="3">
        <f>('P&amp;L'!C5+'P&amp;L'!C10)*Inputs!$B$14</f>
        <v>266791.5</v>
      </c>
      <c r="D9" s="3">
        <f>('P&amp;L'!D5+'P&amp;L'!D10)*Inputs!$B$14</f>
        <v>278822.0</v>
      </c>
      <c r="E9" s="3">
        <f>('P&amp;L'!E5+'P&amp;L'!E10)*Inputs!$B$14</f>
        <v>271038.0</v>
      </c>
      <c r="F9" s="3">
        <f>('P&amp;L'!F5+'P&amp;L'!F10)*Inputs!$B$14</f>
        <v>283286.5</v>
      </c>
      <c r="G9" s="3">
        <f>('P&amp;L'!G5+'P&amp;L'!G10)*Inputs!$B$14</f>
        <v>303057.5</v>
      </c>
      <c r="H9" s="3">
        <f>('P&amp;L'!H5+'P&amp;L'!H10)*Inputs!$B$14</f>
        <v>292103.0</v>
      </c>
      <c r="I9" s="3">
        <f>('P&amp;L'!I5+'P&amp;L'!I10)*Inputs!$B$14</f>
        <v>305862.0</v>
      </c>
      <c r="J9" s="3">
        <f>('P&amp;L'!J5+'P&amp;L'!J10)*Inputs!$B$14</f>
        <v>314729.33800000005</v>
      </c>
      <c r="K9" s="3">
        <f>('P&amp;L'!K5+'P&amp;L'!K10)*Inputs!$B$14</f>
        <v>316276.32145000005</v>
      </c>
      <c r="L9" s="3">
        <f>('P&amp;L'!L5+'P&amp;L'!L10)*Inputs!$B$14</f>
        <v>324736.97948624997</v>
      </c>
      <c r="M9" s="3">
        <f>('P&amp;L'!M5+'P&amp;L'!M10)*Inputs!$B$14</f>
        <v>331362.27897340624</v>
      </c>
      <c r="N9" s="3">
        <f>('P&amp;L'!N5+'P&amp;L'!N10)*Inputs!$B$14</f>
        <v>335004.6842471183</v>
      </c>
      <c r="O9" s="3">
        <f>('P&amp;L'!O5+'P&amp;L'!O10)*Inputs!$B$14</f>
        <v>341610.79122143495</v>
      </c>
      <c r="P9" s="3">
        <f>('P&amp;L'!P5+'P&amp;L'!P10)*Inputs!$B$14</f>
        <v>352961.06100197084</v>
      </c>
      <c r="Q9" s="3">
        <f>('P&amp;L'!Q5+'P&amp;L'!Q10)*Inputs!$B$14</f>
        <v>361630.0875270201</v>
      </c>
      <c r="R9" s="3">
        <f>('P&amp;L'!R5+'P&amp;L'!R10)*Inputs!$B$14</f>
        <v>363468.9647151956</v>
      </c>
      <c r="S9" s="3">
        <f>('P&amp;L'!S5+'P&amp;L'!S10)*Inputs!$B$14</f>
        <v>377228.81383307546</v>
      </c>
      <c r="T9" s="3">
        <f>('P&amp;L'!T5+'P&amp;L'!T10)*Inputs!$B$14</f>
        <v>379160.78417890234</v>
      </c>
      <c r="U9" s="3">
        <f>('P&amp;L'!U5+'P&amp;L'!U10)*Inputs!$B$14</f>
        <v>393016.05378337495</v>
      </c>
      <c r="V9" s="3">
        <f>('P&amp;L'!V5+'P&amp;L'!V10)*Inputs!$B$14</f>
        <v>395045.83012795926</v>
      </c>
      <c r="W9" s="3">
        <f>('P&amp;L'!W5+'P&amp;L'!W10)*Inputs!$B$14</f>
        <v>404001.35088115826</v>
      </c>
      <c r="X9" s="3">
        <f>('P&amp;L'!X5+'P&amp;L'!X10)*Inputs!$B$14</f>
        <v>382795.91344103334</v>
      </c>
      <c r="Y9" s="3">
        <f>('P&amp;L'!Y5+'P&amp;L'!Y10)*Inputs!$B$14</f>
        <v>422608.88465318724</v>
      </c>
      <c r="Z9" s="3">
        <f>('P&amp;L'!Z5+'P&amp;L'!Z10)*Inputs!$B$14</f>
        <v>424794.73176951695</v>
      </c>
      <c r="AA9" s="3">
        <f>('P&amp;L'!AA5+'P&amp;L'!AA10)*Inputs!$B$14</f>
        <v>432035.2250637549</v>
      </c>
      <c r="AB9" s="3">
        <f>('P&amp;L'!AB5+'P&amp;L'!AB10)*Inputs!$B$14</f>
        <v>422206.7306903488</v>
      </c>
      <c r="AC9" s="3">
        <f>('P&amp;L'!AC5+'P&amp;L'!AC10)*Inputs!$B$14</f>
        <v>443560.64895760745</v>
      </c>
      <c r="AD9" s="3">
        <f>('P&amp;L'!AD5+'P&amp;L'!AD10)*Inputs!$B$14</f>
        <v>457848.41518154764</v>
      </c>
      <c r="AE9" s="3">
        <f>('P&amp;L'!AE5+'P&amp;L'!AE10)*Inputs!$B$14</f>
        <v>460321.5005610863</v>
      </c>
      <c r="AF9" s="3">
        <f>('P&amp;L'!AF5+'P&amp;L'!AF10)*Inputs!$B$14</f>
        <v>469731.4130751135</v>
      </c>
      <c r="AG9" s="3">
        <f>('P&amp;L'!AG5+'P&amp;L'!AG10)*Inputs!$B$14</f>
        <v>481929.69840199134</v>
      </c>
      <c r="AH9" s="3">
        <f>('P&amp;L'!AH5+'P&amp;L'!AH10)*Inputs!$B$14</f>
        <v>491467.94086204114</v>
      </c>
      <c r="AI9" s="3">
        <f>('P&amp;L'!AI5+'P&amp;L'!AI10)*Inputs!$B$14</f>
        <v>494197.7643835922</v>
      </c>
      <c r="AJ9" s="3">
        <f>('P&amp;L'!AJ5+'P&amp;L'!AJ10)*Inputs!$B$14</f>
        <v>508870.83349318197</v>
      </c>
      <c r="AK9" s="3">
        <f>('P&amp;L'!AK5+'P&amp;L'!AK10)*Inputs!$B$14</f>
        <v>511738.85433051153</v>
      </c>
    </row>
    <row r="10" spans="1:37">
      <c r="A10" t="s">
        <v>70</v>
      </c>
      <c r="B10" s="3">
        <f>B9</f>
        <v>250565.0</v>
      </c>
      <c r="C10" s="3">
        <f>C9</f>
        <v>266791.5</v>
      </c>
      <c r="D10" s="3">
        <f>D9</f>
        <v>278822.0</v>
      </c>
      <c r="E10" s="3">
        <f>E9</f>
        <v>271038.0</v>
      </c>
      <c r="F10" s="3">
        <f>F9</f>
        <v>283286.5</v>
      </c>
      <c r="G10" s="3">
        <f>G9</f>
        <v>303057.5</v>
      </c>
      <c r="H10" s="3">
        <f>H9</f>
        <v>292103.0</v>
      </c>
      <c r="I10" s="3">
        <f>I9</f>
        <v>305862.0</v>
      </c>
      <c r="J10" s="3">
        <f>J9</f>
        <v>314729.33800000005</v>
      </c>
      <c r="K10" s="3">
        <f>K9</f>
        <v>316276.32145000005</v>
      </c>
      <c r="L10" s="3">
        <f>L9</f>
        <v>324736.97948624997</v>
      </c>
      <c r="M10" s="3">
        <f>M9</f>
        <v>331362.27897340624</v>
      </c>
      <c r="N10" s="3">
        <f>N9</f>
        <v>335004.6842471183</v>
      </c>
      <c r="O10" s="3">
        <f>O9</f>
        <v>341610.79122143495</v>
      </c>
      <c r="P10" s="3">
        <f>P9</f>
        <v>352961.06100197084</v>
      </c>
      <c r="Q10" s="3">
        <f>Q9</f>
        <v>361630.0875270201</v>
      </c>
      <c r="R10" s="3">
        <f>R9</f>
        <v>363468.9647151956</v>
      </c>
      <c r="S10" s="3">
        <f>S9</f>
        <v>377228.81383307546</v>
      </c>
      <c r="T10" s="3">
        <f>T9</f>
        <v>379160.78417890234</v>
      </c>
      <c r="U10" s="3">
        <f>U9</f>
        <v>393016.05378337495</v>
      </c>
      <c r="V10" s="3">
        <f>V9</f>
        <v>395045.83012795926</v>
      </c>
      <c r="W10" s="3">
        <f>W9</f>
        <v>404001.35088115826</v>
      </c>
      <c r="X10" s="3">
        <f>X9</f>
        <v>382795.91344103334</v>
      </c>
      <c r="Y10" s="3">
        <f>Y9</f>
        <v>422608.88465318724</v>
      </c>
      <c r="Z10" s="3">
        <f>Z9</f>
        <v>424794.73176951695</v>
      </c>
      <c r="AA10" s="3">
        <f>AA9</f>
        <v>432035.2250637549</v>
      </c>
      <c r="AB10" s="3">
        <f>AB9</f>
        <v>422206.7306903488</v>
      </c>
      <c r="AC10" s="3">
        <f>AC9</f>
        <v>443560.64895760745</v>
      </c>
      <c r="AD10" s="3">
        <f>AD9</f>
        <v>457848.41518154764</v>
      </c>
      <c r="AE10" s="3">
        <f>AE9</f>
        <v>460321.5005610863</v>
      </c>
      <c r="AF10" s="3">
        <f>AF9</f>
        <v>469731.4130751135</v>
      </c>
      <c r="AG10" s="3">
        <f>AG9</f>
        <v>481929.69840199134</v>
      </c>
      <c r="AH10" s="3">
        <f>AH9</f>
        <v>491467.94086204114</v>
      </c>
      <c r="AI10" s="3">
        <f>AI9</f>
        <v>494197.7643835922</v>
      </c>
      <c r="AJ10" s="3">
        <f>AJ9</f>
        <v>508870.83349318197</v>
      </c>
      <c r="AK10" s="3">
        <f>AK9</f>
        <v>511738.85433051153</v>
      </c>
    </row>
    <row r="12" spans="1:37">
      <c r="A12" t="s">
        <v>71</v>
      </c>
      <c r="B12" s="3">
        <f>Inputs!$B$21+'Cash Flow'!B11</f>
        <v>9500000</v>
      </c>
      <c r="C12" s="3">
        <f>B12+'Cash Flow'!C11</f>
        <v>9500000</v>
      </c>
      <c r="D12" s="3">
        <f>C12+'Cash Flow'!D11</f>
        <v>9500000</v>
      </c>
      <c r="E12" s="3">
        <f>D12+'Cash Flow'!E11</f>
        <v>9500000</v>
      </c>
      <c r="F12" s="3">
        <f>E12+'Cash Flow'!F11</f>
        <v>9500000</v>
      </c>
      <c r="G12" s="3">
        <f>F12+'Cash Flow'!G11</f>
        <v>9500000</v>
      </c>
      <c r="H12" s="3">
        <f>G12+'Cash Flow'!H11</f>
        <v>9500000</v>
      </c>
      <c r="I12" s="3">
        <f>H12+'Cash Flow'!I11</f>
        <v>9500000</v>
      </c>
      <c r="J12" s="3">
        <f>I12+'Cash Flow'!J11</f>
        <v>9500000</v>
      </c>
      <c r="K12" s="3">
        <f>J12+'Cash Flow'!K11</f>
        <v>9500000</v>
      </c>
      <c r="L12" s="3">
        <f>K12+'Cash Flow'!L11</f>
        <v>9500000</v>
      </c>
      <c r="M12" s="3">
        <f>L12+'Cash Flow'!M11</f>
        <v>9500000</v>
      </c>
      <c r="N12" s="3">
        <f>M12+'Cash Flow'!N11</f>
        <v>9500000</v>
      </c>
      <c r="O12" s="3">
        <f>N12+'Cash Flow'!O11</f>
        <v>9500000</v>
      </c>
      <c r="P12" s="3">
        <f>O12+'Cash Flow'!P11</f>
        <v>24500000</v>
      </c>
      <c r="Q12" s="3">
        <f>P12+'Cash Flow'!Q11</f>
        <v>24500000</v>
      </c>
      <c r="R12" s="3">
        <f>Q12+'Cash Flow'!R11</f>
        <v>24500000</v>
      </c>
      <c r="S12" s="3">
        <f>R12+'Cash Flow'!S11</f>
        <v>24500000</v>
      </c>
      <c r="T12" s="3">
        <f>S12+'Cash Flow'!T11</f>
        <v>24500000</v>
      </c>
      <c r="U12" s="3">
        <f>T12+'Cash Flow'!U11</f>
        <v>24500000</v>
      </c>
      <c r="V12" s="3">
        <f>U12+'Cash Flow'!V11</f>
        <v>24500000</v>
      </c>
      <c r="W12" s="3">
        <f>V12+'Cash Flow'!W11</f>
        <v>24500000</v>
      </c>
      <c r="X12" s="3">
        <f>W12+'Cash Flow'!X11</f>
        <v>24500000</v>
      </c>
      <c r="Y12" s="3">
        <f>X12+'Cash Flow'!Y11</f>
        <v>24500000</v>
      </c>
      <c r="Z12" s="3">
        <f>Y12+'Cash Flow'!Z11</f>
        <v>24500000</v>
      </c>
      <c r="AA12" s="3">
        <f>Z12+'Cash Flow'!AA11</f>
        <v>24500000</v>
      </c>
      <c r="AB12" s="3">
        <f>AA12+'Cash Flow'!AB11</f>
        <v>24500000</v>
      </c>
      <c r="AC12" s="3">
        <f>AB12+'Cash Flow'!AC11</f>
        <v>24500000</v>
      </c>
      <c r="AD12" s="3">
        <f>AC12+'Cash Flow'!AD11</f>
        <v>24500000</v>
      </c>
      <c r="AE12" s="3">
        <f>AD12+'Cash Flow'!AE11</f>
        <v>24500000</v>
      </c>
      <c r="AF12" s="3">
        <f>AE12+'Cash Flow'!AF11</f>
        <v>24500000</v>
      </c>
      <c r="AG12" s="3">
        <f>AF12+'Cash Flow'!AG11</f>
        <v>24500000</v>
      </c>
      <c r="AH12" s="3">
        <f>AG12+'Cash Flow'!AH11</f>
        <v>24500000</v>
      </c>
      <c r="AI12" s="3">
        <f>AH12+'Cash Flow'!AI11</f>
        <v>24500000</v>
      </c>
      <c r="AJ12" s="3">
        <f>AI12+'Cash Flow'!AJ11</f>
        <v>24500000</v>
      </c>
      <c r="AK12" s="3">
        <f>AJ12+'Cash Flow'!AK11</f>
        <v>24500000</v>
      </c>
    </row>
    <row r="13" spans="1:37">
      <c r="A13" t="s">
        <v>72</v>
      </c>
      <c r="B13" s="3">
        <f>Inputs!$B$22+'P&amp;L'!B15</f>
        <v>-3224874</v>
      </c>
      <c r="C13" s="3">
        <f>B13+'P&amp;L'!C15</f>
        <v>-3571293</v>
      </c>
      <c r="D13" s="3">
        <f>C13+'P&amp;L'!D15</f>
        <v>-3939284</v>
      </c>
      <c r="E13" s="3">
        <f>D13+'P&amp;L'!E15</f>
        <v>-4284010</v>
      </c>
      <c r="F13" s="3">
        <f>E13+'P&amp;L'!F15</f>
        <v>-4648861</v>
      </c>
      <c r="G13" s="3">
        <f>F13+'P&amp;L'!G15</f>
        <v>-5045742</v>
      </c>
      <c r="H13" s="3">
        <f>G13+'P&amp;L'!H15</f>
        <v>-5418405</v>
      </c>
      <c r="I13" s="3">
        <f>H13+'P&amp;L'!I15</f>
        <v>-5813516</v>
      </c>
      <c r="J13" s="3">
        <f>I13+'P&amp;L'!J15</f>
        <v>-6219430.876</v>
      </c>
      <c r="K13" s="3">
        <f>J13+'P&amp;L'!K15</f>
        <v>-6622626.1239</v>
      </c>
      <c r="L13" s="3">
        <f>K13+'P&amp;L'!L15</f>
        <v>-7036783.7529975</v>
      </c>
      <c r="M13" s="3">
        <f>L13+'P&amp;L'!M15</f>
        <v>-7458084.072822438</v>
      </c>
      <c r="N13" s="3">
        <f>M13+'P&amp;L'!N15</f>
        <v>-7862440.658156508</v>
      </c>
      <c r="O13" s="3">
        <f>N13+'P&amp;L'!O15</f>
        <v>-8291560.275422582</v>
      </c>
      <c r="P13" s="3">
        <f>O13+'P&amp;L'!P15</f>
        <v>-8736802.88312031</v>
      </c>
      <c r="Q13" s="3">
        <f>P13+'P&amp;L'!Q15</f>
        <v>-9192641.55601048</v>
      </c>
      <c r="R13" s="3">
        <f>Q13+'P&amp;L'!R15</f>
        <v>-9645247.445722904</v>
      </c>
      <c r="S13" s="3">
        <f>R13+'P&amp;L'!S15</f>
        <v>-10118289.73267814</v>
      </c>
      <c r="T13" s="3">
        <f>S13+'P&amp;L'!T15</f>
        <v>-10587935.576807255</v>
      </c>
      <c r="U13" s="3">
        <f>T13+'P&amp;L'!U15</f>
        <v>-11077850.067039598</v>
      </c>
      <c r="V13" s="3">
        <f>U13+'P&amp;L'!V15</f>
        <v>-11564196.16952775</v>
      </c>
      <c r="W13" s="3">
        <f>V13+'P&amp;L'!W15</f>
        <v>-12060634.674578106</v>
      </c>
      <c r="X13" s="3">
        <f>W13+'P&amp;L'!X15</f>
        <v>-12514662.304748213</v>
      </c>
      <c r="Y13" s="3">
        <f>X13+'P&amp;L'!Y15</f>
        <v>-13040301.772424828</v>
      </c>
      <c r="Z13" s="3">
        <f>Y13+'P&amp;L'!Z15</f>
        <v>-13562098.476793358</v>
      </c>
      <c r="AA13" s="3">
        <f>Z13+'P&amp;L'!AA15</f>
        <v>-14089956.3487711</v>
      </c>
      <c r="AB13" s="3">
        <f>AA13+'P&amp;L'!AB15</f>
        <v>-14589526.917548288</v>
      </c>
      <c r="AC13" s="3">
        <f>AB13+'P&amp;L'!AC15</f>
        <v>-15122959.250544904</v>
      </c>
      <c r="AD13" s="3">
        <f>AC13+'P&amp;L'!AD15</f>
        <v>-15675899.891866436</v>
      </c>
      <c r="AE13" s="3">
        <f>AD13+'P&amp;L'!AE15</f>
        <v>-16224492.799221007</v>
      </c>
      <c r="AF13" s="3">
        <f>AE13+'P&amp;L'!AF15</f>
        <v>-16782379.279259443</v>
      </c>
      <c r="AG13" s="3">
        <f>AF13+'P&amp;L'!AG15</f>
        <v>-17354897.92129884</v>
      </c>
      <c r="AH13" s="3">
        <f>AG13+'P&amp;L'!AH15</f>
        <v>-17936484.52938922</v>
      </c>
      <c r="AI13" s="3">
        <f>AH13+'P&amp;L'!AI15</f>
        <v>-18513272.05268186</v>
      </c>
      <c r="AJ13" s="3">
        <f>AI13+'P&amp;L'!AJ15</f>
        <v>-19108890.514056817</v>
      </c>
      <c r="AK13" s="3">
        <f>AJ13+'P&amp;L'!AK15</f>
        <v>-19699466.936966147</v>
      </c>
    </row>
    <row r="14" spans="1:37">
      <c r="A14" t="s">
        <v>73</v>
      </c>
      <c r="B14" s="8">
        <f>B12+B13</f>
        <v>6275126</v>
      </c>
      <c r="C14" s="8">
        <f>C12+C13</f>
        <v>5928707</v>
      </c>
      <c r="D14" s="8">
        <f>D12+D13</f>
        <v>5560716</v>
      </c>
      <c r="E14" s="8">
        <f>E12+E13</f>
        <v>5215990</v>
      </c>
      <c r="F14" s="8">
        <f>F12+F13</f>
        <v>4851139</v>
      </c>
      <c r="G14" s="8">
        <f>G12+G13</f>
        <v>4454258</v>
      </c>
      <c r="H14" s="8">
        <f>H12+H13</f>
        <v>4081595</v>
      </c>
      <c r="I14" s="8">
        <f>I12+I13</f>
        <v>3686484</v>
      </c>
      <c r="J14" s="8">
        <f>J12+J13</f>
        <v>3280569.124</v>
      </c>
      <c r="K14" s="8">
        <f>K12+K13</f>
        <v>2877373.8761</v>
      </c>
      <c r="L14" s="8">
        <f>L12+L13</f>
        <v>2463216.2470025</v>
      </c>
      <c r="M14" s="8">
        <f>M12+M13</f>
        <v>2041915.9271775624</v>
      </c>
      <c r="N14" s="8">
        <f>N12+N13</f>
        <v>1637559.3418434924</v>
      </c>
      <c r="O14" s="8">
        <f>O12+O13</f>
        <v>1208439.7245774176</v>
      </c>
      <c r="P14" s="8">
        <f>P12+P13</f>
        <v>15763197.11687969</v>
      </c>
      <c r="Q14" s="8">
        <f>Q12+Q13</f>
        <v>15307358.44398952</v>
      </c>
      <c r="R14" s="8">
        <f>R12+R13</f>
        <v>14854752.554277096</v>
      </c>
      <c r="S14" s="8">
        <f>S12+S13</f>
        <v>14381710.26732186</v>
      </c>
      <c r="T14" s="8">
        <f>T12+T13</f>
        <v>13912064.423192745</v>
      </c>
      <c r="U14" s="8">
        <f>U12+U13</f>
        <v>13422149.932960402</v>
      </c>
      <c r="V14" s="8">
        <f>V12+V13</f>
        <v>12935803.83047225</v>
      </c>
      <c r="W14" s="8">
        <f>W12+W13</f>
        <v>12439365.325421894</v>
      </c>
      <c r="X14" s="8">
        <f>X12+X13</f>
        <v>11985337.695251787</v>
      </c>
      <c r="Y14" s="8">
        <f>Y12+Y13</f>
        <v>11459698.227575172</v>
      </c>
      <c r="Z14" s="8">
        <f>Z12+Z13</f>
        <v>10937901.523206642</v>
      </c>
      <c r="AA14" s="8">
        <f>AA12+AA13</f>
        <v>10410043.6512289</v>
      </c>
      <c r="AB14" s="8">
        <f>AB12+AB13</f>
        <v>9910473.082451712</v>
      </c>
      <c r="AC14" s="8">
        <f>AC12+AC13</f>
        <v>9377040.749455096</v>
      </c>
      <c r="AD14" s="8">
        <f>AD12+AD13</f>
        <v>8824100.108133564</v>
      </c>
      <c r="AE14" s="8">
        <f>AE12+AE13</f>
        <v>8275507.200778993</v>
      </c>
      <c r="AF14" s="8">
        <f>AF12+AF13</f>
        <v>7717620.720740557</v>
      </c>
      <c r="AG14" s="8">
        <f>AG12+AG13</f>
        <v>7145102.078701161</v>
      </c>
      <c r="AH14" s="8">
        <f>AH12+AH13</f>
        <v>6563515.470610779</v>
      </c>
      <c r="AI14" s="8">
        <f>AI12+AI13</f>
        <v>5986727.94731814</v>
      </c>
      <c r="AJ14" s="8">
        <f>AJ12+AJ13</f>
        <v>5391109.485943183</v>
      </c>
      <c r="AK14" s="8">
        <f>AK12+AK13</f>
        <v>4800533.063033853</v>
      </c>
    </row>
    <row r="16" spans="1:37">
      <c r="A16" t="s">
        <v>74</v>
      </c>
      <c r="B16" s="8">
        <f>B10+B14</f>
        <v>6525691.0</v>
      </c>
      <c r="C16" s="8">
        <f>C10+C14</f>
        <v>6195498.5</v>
      </c>
      <c r="D16" s="8">
        <f>D10+D14</f>
        <v>5839538.0</v>
      </c>
      <c r="E16" s="8">
        <f>E10+E14</f>
        <v>5487028.0</v>
      </c>
      <c r="F16" s="8">
        <f>F10+F14</f>
        <v>5134425.5</v>
      </c>
      <c r="G16" s="8">
        <f>G10+G14</f>
        <v>4757315.5</v>
      </c>
      <c r="H16" s="8">
        <f>H10+H14</f>
        <v>4373698.0</v>
      </c>
      <c r="I16" s="8">
        <f>I10+I14</f>
        <v>3992346.0</v>
      </c>
      <c r="J16" s="8">
        <f>J10+J14</f>
        <v>3595298.462</v>
      </c>
      <c r="K16" s="8">
        <f>K10+K14</f>
        <v>3193650.19755</v>
      </c>
      <c r="L16" s="8">
        <f>L10+L14</f>
        <v>2787953.22648875</v>
      </c>
      <c r="M16" s="8">
        <f>M10+M14</f>
        <v>2373278.2061509686</v>
      </c>
      <c r="N16" s="8">
        <f>N10+N14</f>
        <v>1972564.0260906108</v>
      </c>
      <c r="O16" s="8">
        <f>O10+O14</f>
        <v>1550050.5157988525</v>
      </c>
      <c r="P16" s="8">
        <f>P10+P14</f>
        <v>16116158.177881662</v>
      </c>
      <c r="Q16" s="8">
        <f>Q10+Q14</f>
        <v>15668988.53151654</v>
      </c>
      <c r="R16" s="8">
        <f>R10+R14</f>
        <v>15218221.518992292</v>
      </c>
      <c r="S16" s="8">
        <f>S10+S14</f>
        <v>14758939.081154935</v>
      </c>
      <c r="T16" s="8">
        <f>T10+T14</f>
        <v>14291225.207371647</v>
      </c>
      <c r="U16" s="8">
        <f>U10+U14</f>
        <v>13815165.986743778</v>
      </c>
      <c r="V16" s="8">
        <f>V10+V14</f>
        <v>13330849.66060021</v>
      </c>
      <c r="W16" s="8">
        <f>W10+W14</f>
        <v>12843366.676303051</v>
      </c>
      <c r="X16" s="8">
        <f>X10+X14</f>
        <v>12368133.608692821</v>
      </c>
      <c r="Y16" s="8">
        <f>Y10+Y14</f>
        <v>11882307.112228358</v>
      </c>
      <c r="Z16" s="8">
        <f>Z10+Z14</f>
        <v>11362696.254976159</v>
      </c>
      <c r="AA16" s="8">
        <f>AA10+AA14</f>
        <v>10842078.876292653</v>
      </c>
      <c r="AB16" s="8">
        <f>AB10+AB14</f>
        <v>10332679.813142061</v>
      </c>
      <c r="AC16" s="8">
        <f>AC10+AC14</f>
        <v>9820601.398412704</v>
      </c>
      <c r="AD16" s="8">
        <f>AD10+AD14</f>
        <v>9281948.523315111</v>
      </c>
      <c r="AE16" s="8">
        <f>AE10+AE14</f>
        <v>8735828.70134008</v>
      </c>
      <c r="AF16" s="8">
        <f>AF10+AF14</f>
        <v>8187352.13381567</v>
      </c>
      <c r="AG16" s="8">
        <f>AG10+AG14</f>
        <v>7627031.777103152</v>
      </c>
      <c r="AH16" s="8">
        <f>AH10+AH14</f>
        <v>7054983.41147282</v>
      </c>
      <c r="AI16" s="8">
        <f>AI10+AI14</f>
        <v>6480925.711701732</v>
      </c>
      <c r="AJ16" s="8">
        <f>AJ10+AJ14</f>
        <v>5899980.319436366</v>
      </c>
      <c r="AK16" s="8">
        <f>AK10+AK14</f>
        <v>5312271.9173643645</v>
      </c>
    </row>
    <row r="18" spans="1:37">
      <c r="A18" t="s">
        <v>75</v>
      </c>
      <c r="B18" s="8">
        <f>ROUND(B7-B16,2)</f>
        <v>0.0</v>
      </c>
      <c r="C18" s="8">
        <f>ROUND(C7-C16,2)</f>
        <v>0.0</v>
      </c>
      <c r="D18" s="8">
        <f>ROUND(D7-D16,2)</f>
        <v>0.0</v>
      </c>
      <c r="E18" s="8">
        <f>ROUND(E7-E16,2)</f>
        <v>0.0</v>
      </c>
      <c r="F18" s="8">
        <f>ROUND(F7-F16,2)</f>
        <v>0.0</v>
      </c>
      <c r="G18" s="8">
        <f>ROUND(G7-G16,2)</f>
        <v>0.0</v>
      </c>
      <c r="H18" s="8">
        <f>ROUND(H7-H16,2)</f>
        <v>0.0</v>
      </c>
      <c r="I18" s="8">
        <f>ROUND(I7-I16,2)</f>
        <v>0.0</v>
      </c>
      <c r="J18" s="8">
        <f>ROUND(J7-J16,2)</f>
        <v>0.0</v>
      </c>
      <c r="K18" s="8">
        <f>ROUND(K7-K16,2)</f>
        <v>0.0</v>
      </c>
      <c r="L18" s="8">
        <f>ROUND(L7-L16,2)</f>
        <v>0.0</v>
      </c>
      <c r="M18" s="8">
        <f>ROUND(M7-M16,2)</f>
        <v>0.0</v>
      </c>
      <c r="N18" s="8">
        <f>ROUND(N7-N16,2)</f>
        <v>0.0</v>
      </c>
      <c r="O18" s="8">
        <f>ROUND(O7-O16,2)</f>
        <v>0.0</v>
      </c>
      <c r="P18" s="8">
        <f>ROUND(P7-P16,2)</f>
        <v>0.0</v>
      </c>
      <c r="Q18" s="8">
        <f>ROUND(Q7-Q16,2)</f>
        <v>0.0</v>
      </c>
      <c r="R18" s="8">
        <f>ROUND(R7-R16,2)</f>
        <v>26110.52</v>
      </c>
      <c r="S18" s="8">
        <f>ROUND(S7-S16,2)</f>
        <v>0.0</v>
      </c>
      <c r="T18" s="8">
        <f>ROUND(T7-T16,2)</f>
        <v>0.0</v>
      </c>
      <c r="U18" s="8">
        <f>ROUND(U7-U16,2)</f>
        <v>0.0</v>
      </c>
      <c r="V18" s="8">
        <f>ROUND(V7-V16,2)</f>
        <v>0.0</v>
      </c>
      <c r="W18" s="8">
        <f>ROUND(W7-W16,2)</f>
        <v>0.0</v>
      </c>
      <c r="X18" s="8">
        <f>ROUND(X7-X16,2)</f>
        <v>0.0</v>
      </c>
      <c r="Y18" s="8">
        <f>ROUND(Y7-Y16,2)</f>
        <v>0.0</v>
      </c>
      <c r="Z18" s="8">
        <f>ROUND(Z7-Z16,2)</f>
        <v>0.0</v>
      </c>
      <c r="AA18" s="8">
        <f>ROUND(AA7-AA16,2)</f>
        <v>0.0</v>
      </c>
      <c r="AB18" s="8">
        <f>ROUND(AB7-AB16,2)</f>
        <v>0.0</v>
      </c>
      <c r="AC18" s="8">
        <f>ROUND(AC7-AC16,2)</f>
        <v>0.0</v>
      </c>
      <c r="AD18" s="8">
        <f>ROUND(AD7-AD16,2)</f>
        <v>0.0</v>
      </c>
      <c r="AE18" s="8">
        <f>ROUND(AE7-AE16,2)</f>
        <v>0.0</v>
      </c>
      <c r="AF18" s="8">
        <f>ROUND(AF7-AF16,2)</f>
        <v>0.0</v>
      </c>
      <c r="AG18" s="8">
        <f>ROUND(AG7-AG16,2)</f>
        <v>0.0</v>
      </c>
      <c r="AH18" s="8">
        <f>ROUND(AH7-AH16,2)</f>
        <v>0.0</v>
      </c>
      <c r="AI18" s="8">
        <f>ROUND(AI7-AI16,2)</f>
        <v>0.0</v>
      </c>
      <c r="AJ18" s="8">
        <f>ROUND(AJ7-AJ16,2)</f>
        <v>0.0</v>
      </c>
      <c r="AK18" s="8">
        <f>ROUND(AK7-AK16,2)</f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Revenue</vt:lpstr>
      <vt:lpstr>P&amp;L</vt:lpstr>
      <vt:lpstr>Cash Flow</vt:lpstr>
      <vt:lpstr>Balance Sheet</vt:lpstr>
    </vt:vector>
  </TitlesOfParts>
  <Company>Tallowbird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Operating Model</dc:title>
  <dc:creator>Marcus Bell</dc:creator>
  <dc:description>Synthetic fixture for spreadsheet-brain evals. All names are fictional.</dc:description>
  <cp:lastModifiedBy>Marcus Bell</cp:lastModifiedBy>
  <dcterms:created xsi:type="dcterms:W3CDTF">2026-09-10T17:30:00Z</dcterms:created>
  <dcterms:modified xsi:type="dcterms:W3CDTF">2026-09-10T17:30:00Z</dcterms:modified>
</cp:coreProperties>
</file>
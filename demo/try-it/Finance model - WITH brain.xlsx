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6.xml" ContentType="application/vnd.openxmlformats-officedocument.spreadsheetml.worksheet+xml"/>
  <Override PartName="/xl/drawings/brainmap1.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5"/>
  </bookViews>
  <sheets>
    <sheet name="Inputs" sheetId="1" r:id="rId1"/>
    <sheet name="Revenue" sheetId="2" r:id="rId2"/>
    <sheet name="P&amp;L" sheetId="3" r:id="rId3"/>
    <sheet name="Cash Flow" sheetId="4" r:id="rId4"/>
    <sheet name="Balance Sheet" sheetId="5" r:id="rId5"/>
    <sheet name="_brain" sheetId="6" r:id="rId9"/>
  </sheets>
  <calcPr calcId="124519" fullCalcOnLoad="1"/>
</workbook>
</file>

<file path=xl/sharedStrings.xml><?xml version="1.0" encoding="utf-8"?>
<sst xmlns="http://schemas.openxmlformats.org/spreadsheetml/2006/main" count="90" uniqueCount="76">
  <si>
    <t>Inputs</t>
  </si>
  <si>
    <t>Monthly model, January 2026 to December 2028.</t>
  </si>
  <si>
    <t>Opening balance sheet</t>
  </si>
  <si>
    <t>Loaded cost per head, per month</t>
  </si>
  <si>
    <t>Headcount plan</t>
  </si>
  <si>
    <t>Starting MRR</t>
  </si>
  <si>
    <t>USD, January 2026</t>
  </si>
  <si>
    <t>Growth</t>
  </si>
  <si>
    <t>Monthly churn</t>
  </si>
  <si>
    <t>share of beginning MRR lost each month</t>
  </si>
  <si>
    <t>ARPA per month</t>
  </si>
  <si>
    <t>USD per customer</t>
  </si>
  <si>
    <t>CAC per new customer</t>
  </si>
  <si>
    <t>USD</t>
  </si>
  <si>
    <t>COGS % of revenue</t>
  </si>
  <si>
    <t>Fixed G&amp;A per month</t>
  </si>
  <si>
    <t>D&amp;A per month</t>
  </si>
  <si>
    <t>Capex per month</t>
  </si>
  <si>
    <t>Tax rate</t>
  </si>
  <si>
    <t>AR (months of revenue)</t>
  </si>
  <si>
    <t>net 30 terms</t>
  </si>
  <si>
    <t>AP (share of monthly costs)</t>
  </si>
  <si>
    <t>Opening cash</t>
  </si>
  <si>
    <t>Dec 31, 2025</t>
  </si>
  <si>
    <t>Opening AR</t>
  </si>
  <si>
    <t>Opening PP&amp;E, net</t>
  </si>
  <si>
    <t>Opening AP</t>
  </si>
  <si>
    <t>Opening paid-in capital</t>
  </si>
  <si>
    <t>Opening retained earnings</t>
  </si>
  <si>
    <t>balancing figure</t>
  </si>
  <si>
    <t>Engineering</t>
  </si>
  <si>
    <t>loaded cost per head per month</t>
  </si>
  <si>
    <t>Sales</t>
  </si>
  <si>
    <t>G&amp;A</t>
  </si>
  <si>
    <t>Revenue build (USD)</t>
  </si>
  <si>
    <t>Month</t>
  </si>
  <si>
    <t>Beginning MRR</t>
  </si>
  <si>
    <t>New MRR</t>
  </si>
  <si>
    <t>Churned MRR</t>
  </si>
  <si>
    <t>Ending MRR</t>
  </si>
  <si>
    <t>New customers</t>
  </si>
  <si>
    <t>P&amp;L (USD)</t>
  </si>
  <si>
    <t>Revenue</t>
  </si>
  <si>
    <t>COGS</t>
  </si>
  <si>
    <t>Gross Profit</t>
  </si>
  <si>
    <t>Sales &amp; Marketing</t>
  </si>
  <si>
    <t>R&amp;D</t>
  </si>
  <si>
    <t>Total OpEx</t>
  </si>
  <si>
    <t>EBITDA</t>
  </si>
  <si>
    <t>D&amp;A</t>
  </si>
  <si>
    <t>EBIT</t>
  </si>
  <si>
    <t>Taxes</t>
  </si>
  <si>
    <t>Net Income</t>
  </si>
  <si>
    <t>Cash Flow (USD)</t>
  </si>
  <si>
    <t>Change in AR</t>
  </si>
  <si>
    <t>Change in AP</t>
  </si>
  <si>
    <t>Cash from Operations</t>
  </si>
  <si>
    <t>Capex</t>
  </si>
  <si>
    <t>Cash from Investing</t>
  </si>
  <si>
    <t>Equity raised</t>
  </si>
  <si>
    <t>Cash from Financing</t>
  </si>
  <si>
    <t>Net Change in Cash</t>
  </si>
  <si>
    <t>Beginning Cash</t>
  </si>
  <si>
    <t>Ending Cash</t>
  </si>
  <si>
    <t>Balance Sheet (USD)</t>
  </si>
  <si>
    <t>Cash</t>
  </si>
  <si>
    <t>Accounts Receivable</t>
  </si>
  <si>
    <t>PP&amp;E, net</t>
  </si>
  <si>
    <t>Total Assets</t>
  </si>
  <si>
    <t>Accounts Payable</t>
  </si>
  <si>
    <t>Total Liabilities</t>
  </si>
  <si>
    <t>Paid-in Capital</t>
  </si>
  <si>
    <t>Retained Earnings</t>
  </si>
  <si>
    <t>Total Equity</t>
  </si>
  <si>
    <t>Total Liabilities &amp; Equity</t>
  </si>
  <si>
    <t>Balance Check</t>
  </si>
</sst>
</file>

<file path=xl/styles.xml><?xml version="1.0" encoding="utf-8"?>
<styleSheet xmlns="http://schemas.openxmlformats.org/spreadsheetml/2006/main">
  <numFmts count="3">
    <numFmt numFmtId="164" formatCode="#,##0;(#,##0)"/>
    <numFmt numFmtId="165" formatCode="0.0%"/>
    <numFmt numFmtId="166" formatCode="mmm-yy"/>
  </numFmts>
  <fonts count="5">
    <font>
      <sz val="11"/>
      <color theme="1"/>
      <name val="Calibri"/>
      <family val="2"/>
      <scheme val="minor"/>
    </font>
    <font>
      <b/>
      <sz val="14"/>
      <color theme="1"/>
      <name val="Calibri"/>
      <family val="2"/>
      <scheme val="minor"/>
    </font>
    <font>
      <i/>
      <sz val="11"/>
      <color rgb="FF666666"/>
      <name val="Calibri"/>
      <family val="2"/>
      <scheme val="minor"/>
    </font>
    <font>
      <b/>
      <i/>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7ECE4"/>
        <bgColor indexed="64"/>
      </patternFill>
    </fill>
  </fills>
  <borders count="3">
    <border>
      <left/>
      <right/>
      <top/>
      <bottom/>
      <diagonal/>
    </border>
    <border>
      <left/>
      <right/>
      <top/>
      <bottom style="thin">
        <color auto="1"/>
      </bottom>
      <diagonal/>
    </border>
    <border>
      <left/>
      <right/>
      <top style="thin">
        <color auto="1"/>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164" fontId="0" fillId="0" borderId="0" xfId="0" applyNumberFormat="1"/>
    <xf numFmtId="165" fontId="0" fillId="0" borderId="0" xfId="0" applyNumberFormat="1"/>
    <xf numFmtId="0" fontId="3" fillId="0" borderId="0" xfId="0" applyFont="1"/>
    <xf numFmtId="166" fontId="4" fillId="2" borderId="1" xfId="0" applyNumberFormat="1" applyFont="1" applyFill="1" applyBorder="1"/>
    <xf numFmtId="1" fontId="0" fillId="0" borderId="0" xfId="0" applyNumberFormat="1"/>
    <xf numFmtId="164" fontId="4" fillId="0" borderId="2"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9" Type="http://schemas.openxmlformats.org/officeDocument/2006/relationships/worksheet" Target="worksheets/sheet6.xml"/></Relationships>
</file>

<file path=xl/drawings/brainmap1.xml><?xml version="1.0" encoding="utf-8"?>
<xdr:wsDr xmlns:xdr="http://schemas.openxmlformats.org/drawingml/2006/spreadsheetDrawing" xmlns:a="http://schemas.openxmlformats.org/drawingml/2006/main">
  <xdr:twoCellAnchor>
    <xdr:from>
      <xdr:col>19</xdr:col>
      <xdr:colOff>0</xdr:colOff>
      <xdr:row>1</xdr:row>
      <xdr:rowOff>0</xdr:rowOff>
    </xdr:from>
    <xdr:to>
      <xdr:col>122</xdr:col>
      <xdr:colOff>139700</xdr:colOff>
      <xdr:row>49</xdr:row>
      <xdr:rowOff>0</xdr:rowOff>
    </xdr:to>
    <xdr:sp macro="" textlink="">
      <xdr:nvSpPr>
        <xdr:cNvPr id="2" name="Brain canvas"/>
        <xdr:cNvSpPr>
          <a:spLocks noGrp="1"/>
        </xdr:cNvSpPr>
      </xdr:nvSpPr>
      <xdr:spPr>
        <a:xfrm>
          <a:off x="0" y="0"/>
          <a:ext cx="17145000" cy="9144000"/>
        </a:xfrm>
        <a:prstGeom prst="rect">
          <a:avLst/>
        </a:prstGeom>
        <a:solidFill>
          <a:srgbClr val="121211"/>
        </a:solidFill>
        <a:ln w="9525">
          <a:solidFill>
            <a:srgbClr val="2A2A27"/>
          </a:solidFill>
        </a:ln>
      </xdr:spPr>
    </xdr:sp>
    <xdr:clientData/>
  </xdr:twoCellAnchor>
  <xdr:twoCellAnchor>
    <xdr:from>
      <xdr:col>101</xdr:col>
      <xdr:colOff>82550</xdr:colOff>
      <xdr:row>5</xdr:row>
      <xdr:rowOff>38100</xdr:rowOff>
    </xdr:from>
    <xdr:to>
      <xdr:col>121</xdr:col>
      <xdr:colOff>19050</xdr:colOff>
      <xdr:row>47</xdr:row>
      <xdr:rowOff>38100</xdr:rowOff>
    </xdr:to>
    <xdr:sp macro="" textlink="">
      <xdr:nvSpPr>
        <xdr:cNvPr id="3" name="Brain side panel"/>
        <xdr:cNvSpPr>
          <a:spLocks noGrp="1"/>
        </xdr:cNvSpPr>
      </xdr:nvSpPr>
      <xdr:spPr>
        <a:xfrm>
          <a:off x="13620750" y="800100"/>
          <a:ext cx="3238500" cy="8001000"/>
        </a:xfrm>
        <a:prstGeom prst="rect">
          <a:avLst/>
        </a:prstGeom>
        <a:solidFill>
          <a:srgbClr val="1A1A18"/>
        </a:solidFill>
        <a:ln w="9525">
          <a:solidFill>
            <a:srgbClr val="2A2A27"/>
          </a:solidFill>
        </a:ln>
      </xdr:spPr>
    </xdr:sp>
    <xdr:clientData/>
  </xdr:twoCellAnchor>
  <xdr:twoCellAnchor>
    <xdr:from>
      <xdr:col>64</xdr:col>
      <xdr:colOff>39112</xdr:colOff>
      <xdr:row>23</xdr:row>
      <xdr:rowOff>6779</xdr:rowOff>
    </xdr:from>
    <xdr:to>
      <xdr:col>79</xdr:col>
      <xdr:colOff>87203</xdr:colOff>
      <xdr:row>24</xdr:row>
      <xdr:rowOff>183340</xdr:rowOff>
    </xdr:to>
    <xdr:cxnSp macro="">
      <xdr:nvCxnSpPr>
        <xdr:cNvPr id="223" name="Line 1"/>
        <xdr:cNvCxnSpPr>
          <a:stCxn id="8" idx="2"/>
          <a:endCxn id="5" idx="6"/>
        </xdr:cNvCxnSpPr>
      </xdr:nvCxnSpPr>
      <xdr:spPr>
        <a:xfrm flipH="1">
          <a:off x="7468612" y="4197779"/>
          <a:ext cx="2524591" cy="367061"/>
        </a:xfrm>
        <a:prstGeom prst="straightConnector1">
          <a:avLst/>
        </a:prstGeom>
        <a:ln w="6350">
          <a:solidFill>
            <a:srgbClr val="FFFFFF">
              <a:alpha val="9000"/>
            </a:srgbClr>
          </a:solidFill>
        </a:ln>
      </xdr:spPr>
    </xdr:cxnSp>
    <xdr:clientData/>
  </xdr:twoCellAnchor>
  <xdr:twoCellAnchor>
    <xdr:from>
      <xdr:col>64</xdr:col>
      <xdr:colOff>39112</xdr:colOff>
      <xdr:row>24</xdr:row>
      <xdr:rowOff>183340</xdr:rowOff>
    </xdr:from>
    <xdr:to>
      <xdr:col>73</xdr:col>
      <xdr:colOff>142958</xdr:colOff>
      <xdr:row>36</xdr:row>
      <xdr:rowOff>128754</xdr:rowOff>
    </xdr:to>
    <xdr:cxnSp macro="">
      <xdr:nvCxnSpPr>
        <xdr:cNvPr id="224" name="Line 2"/>
        <xdr:cNvCxnSpPr>
          <a:stCxn id="11" idx="1"/>
          <a:endCxn id="5" idx="5"/>
        </xdr:cNvCxnSpPr>
      </xdr:nvCxnSpPr>
      <xdr:spPr>
        <a:xfrm flipH="1" flipV="1">
          <a:off x="7468612" y="4564840"/>
          <a:ext cx="1589746" cy="2231414"/>
        </a:xfrm>
        <a:prstGeom prst="straightConnector1">
          <a:avLst/>
        </a:prstGeom>
        <a:ln w="6350">
          <a:solidFill>
            <a:srgbClr val="FFFFFF">
              <a:alpha val="9000"/>
            </a:srgbClr>
          </a:solidFill>
        </a:ln>
      </xdr:spPr>
    </xdr:cxnSp>
    <xdr:clientData/>
  </xdr:twoCellAnchor>
  <xdr:twoCellAnchor>
    <xdr:from>
      <xdr:col>58</xdr:col>
      <xdr:colOff>59027</xdr:colOff>
      <xdr:row>24</xdr:row>
      <xdr:rowOff>183340</xdr:rowOff>
    </xdr:from>
    <xdr:to>
      <xdr:col>64</xdr:col>
      <xdr:colOff>39112</xdr:colOff>
      <xdr:row>33</xdr:row>
      <xdr:rowOff>115831</xdr:rowOff>
    </xdr:to>
    <xdr:cxnSp macro="">
      <xdr:nvCxnSpPr>
        <xdr:cNvPr id="225" name="Line 3"/>
        <xdr:cNvCxnSpPr>
          <a:stCxn id="14" idx="7"/>
          <a:endCxn id="5" idx="3"/>
        </xdr:cNvCxnSpPr>
      </xdr:nvCxnSpPr>
      <xdr:spPr>
        <a:xfrm flipV="1">
          <a:off x="6497927" y="4564840"/>
          <a:ext cx="970685" cy="1646991"/>
        </a:xfrm>
        <a:prstGeom prst="straightConnector1">
          <a:avLst/>
        </a:prstGeom>
        <a:ln w="6350">
          <a:solidFill>
            <a:srgbClr val="FFFFFF">
              <a:alpha val="9000"/>
            </a:srgbClr>
          </a:solidFill>
        </a:ln>
      </xdr:spPr>
    </xdr:cxnSp>
    <xdr:clientData/>
  </xdr:twoCellAnchor>
  <xdr:twoCellAnchor>
    <xdr:from>
      <xdr:col>56</xdr:col>
      <xdr:colOff>9697</xdr:colOff>
      <xdr:row>18</xdr:row>
      <xdr:rowOff>130687</xdr:rowOff>
    </xdr:from>
    <xdr:to>
      <xdr:col>64</xdr:col>
      <xdr:colOff>39112</xdr:colOff>
      <xdr:row>24</xdr:row>
      <xdr:rowOff>183340</xdr:rowOff>
    </xdr:to>
    <xdr:cxnSp macro="">
      <xdr:nvCxnSpPr>
        <xdr:cNvPr id="226" name="Line 4"/>
        <xdr:cNvCxnSpPr>
          <a:stCxn id="17" idx="5"/>
          <a:endCxn id="5" idx="1"/>
        </xdr:cNvCxnSpPr>
      </xdr:nvCxnSpPr>
      <xdr:spPr>
        <a:xfrm>
          <a:off x="6118397" y="3369187"/>
          <a:ext cx="1350215" cy="1195653"/>
        </a:xfrm>
        <a:prstGeom prst="straightConnector1">
          <a:avLst/>
        </a:prstGeom>
        <a:ln w="6350">
          <a:solidFill>
            <a:srgbClr val="FFFFFF">
              <a:alpha val="9000"/>
            </a:srgbClr>
          </a:solidFill>
        </a:ln>
      </xdr:spPr>
    </xdr:cxnSp>
    <xdr:clientData/>
  </xdr:twoCellAnchor>
  <xdr:twoCellAnchor>
    <xdr:from>
      <xdr:col>42</xdr:col>
      <xdr:colOff>109315</xdr:colOff>
      <xdr:row>24</xdr:row>
      <xdr:rowOff>162330</xdr:rowOff>
    </xdr:from>
    <xdr:to>
      <xdr:col>64</xdr:col>
      <xdr:colOff>39112</xdr:colOff>
      <xdr:row>24</xdr:row>
      <xdr:rowOff>183340</xdr:rowOff>
    </xdr:to>
    <xdr:cxnSp macro="">
      <xdr:nvCxnSpPr>
        <xdr:cNvPr id="227" name="Line 5"/>
        <xdr:cNvCxnSpPr>
          <a:stCxn id="20" idx="6"/>
          <a:endCxn id="5" idx="2"/>
        </xdr:cNvCxnSpPr>
      </xdr:nvCxnSpPr>
      <xdr:spPr>
        <a:xfrm>
          <a:off x="3906615" y="4543830"/>
          <a:ext cx="3561997" cy="21010"/>
        </a:xfrm>
        <a:prstGeom prst="straightConnector1">
          <a:avLst/>
        </a:prstGeom>
        <a:ln w="6350">
          <a:solidFill>
            <a:srgbClr val="FFFFFF">
              <a:alpha val="9000"/>
            </a:srgbClr>
          </a:solidFill>
        </a:ln>
      </xdr:spPr>
    </xdr:cxnSp>
    <xdr:clientData/>
  </xdr:twoCellAnchor>
  <xdr:twoCellAnchor>
    <xdr:from>
      <xdr:col>71</xdr:col>
      <xdr:colOff>89994</xdr:colOff>
      <xdr:row>23</xdr:row>
      <xdr:rowOff>6779</xdr:rowOff>
    </xdr:from>
    <xdr:to>
      <xdr:col>79</xdr:col>
      <xdr:colOff>87203</xdr:colOff>
      <xdr:row>26</xdr:row>
      <xdr:rowOff>37337</xdr:rowOff>
    </xdr:to>
    <xdr:cxnSp macro="">
      <xdr:nvCxnSpPr>
        <xdr:cNvPr id="228" name="Line 6"/>
        <xdr:cNvCxnSpPr>
          <a:stCxn id="23" idx="7"/>
          <a:endCxn id="8" idx="3"/>
        </xdr:cNvCxnSpPr>
      </xdr:nvCxnSpPr>
      <xdr:spPr>
        <a:xfrm flipV="1">
          <a:off x="8675194" y="4197779"/>
          <a:ext cx="1318009" cy="602058"/>
        </a:xfrm>
        <a:prstGeom prst="straightConnector1">
          <a:avLst/>
        </a:prstGeom>
        <a:ln w="6350">
          <a:solidFill>
            <a:srgbClr val="FFFFFF">
              <a:alpha val="9000"/>
            </a:srgbClr>
          </a:solidFill>
        </a:ln>
      </xdr:spPr>
    </xdr:cxnSp>
    <xdr:clientData/>
  </xdr:twoCellAnchor>
  <xdr:twoCellAnchor>
    <xdr:from>
      <xdr:col>68</xdr:col>
      <xdr:colOff>56595</xdr:colOff>
      <xdr:row>21</xdr:row>
      <xdr:rowOff>185982</xdr:rowOff>
    </xdr:from>
    <xdr:to>
      <xdr:col>79</xdr:col>
      <xdr:colOff>87203</xdr:colOff>
      <xdr:row>23</xdr:row>
      <xdr:rowOff>6779</xdr:rowOff>
    </xdr:to>
    <xdr:cxnSp macro="">
      <xdr:nvCxnSpPr>
        <xdr:cNvPr id="229" name="Line 7"/>
        <xdr:cNvCxnSpPr>
          <a:stCxn id="26" idx="6"/>
          <a:endCxn id="8" idx="2"/>
        </xdr:cNvCxnSpPr>
      </xdr:nvCxnSpPr>
      <xdr:spPr>
        <a:xfrm>
          <a:off x="8146495" y="3995982"/>
          <a:ext cx="1846708" cy="201798"/>
        </a:xfrm>
        <a:prstGeom prst="straightConnector1">
          <a:avLst/>
        </a:prstGeom>
        <a:ln w="6350">
          <a:solidFill>
            <a:srgbClr val="FFFFFF">
              <a:alpha val="9000"/>
            </a:srgbClr>
          </a:solidFill>
        </a:ln>
      </xdr:spPr>
    </xdr:cxnSp>
    <xdr:clientData/>
  </xdr:twoCellAnchor>
  <xdr:twoCellAnchor>
    <xdr:from>
      <xdr:col>79</xdr:col>
      <xdr:colOff>87203</xdr:colOff>
      <xdr:row>23</xdr:row>
      <xdr:rowOff>6779</xdr:rowOff>
    </xdr:from>
    <xdr:to>
      <xdr:col>88</xdr:col>
      <xdr:colOff>79345</xdr:colOff>
      <xdr:row>24</xdr:row>
      <xdr:rowOff>187112</xdr:rowOff>
    </xdr:to>
    <xdr:cxnSp macro="">
      <xdr:nvCxnSpPr>
        <xdr:cNvPr id="230" name="Line 8"/>
        <xdr:cNvCxnSpPr>
          <a:stCxn id="29" idx="2"/>
          <a:endCxn id="8" idx="6"/>
        </xdr:cNvCxnSpPr>
      </xdr:nvCxnSpPr>
      <xdr:spPr>
        <a:xfrm flipH="1" flipV="1">
          <a:off x="9993203" y="4197779"/>
          <a:ext cx="1478043" cy="370833"/>
        </a:xfrm>
        <a:prstGeom prst="straightConnector1">
          <a:avLst/>
        </a:prstGeom>
        <a:ln w="6350">
          <a:solidFill>
            <a:srgbClr val="FFFFFF">
              <a:alpha val="9000"/>
            </a:srgbClr>
          </a:solidFill>
        </a:ln>
      </xdr:spPr>
    </xdr:cxnSp>
    <xdr:clientData/>
  </xdr:twoCellAnchor>
  <xdr:twoCellAnchor>
    <xdr:from>
      <xdr:col>79</xdr:col>
      <xdr:colOff>87203</xdr:colOff>
      <xdr:row>20</xdr:row>
      <xdr:rowOff>109175</xdr:rowOff>
    </xdr:from>
    <xdr:to>
      <xdr:col>81</xdr:col>
      <xdr:colOff>147430</xdr:colOff>
      <xdr:row>23</xdr:row>
      <xdr:rowOff>6779</xdr:rowOff>
    </xdr:to>
    <xdr:cxnSp macro="">
      <xdr:nvCxnSpPr>
        <xdr:cNvPr id="231" name="Line 9"/>
        <xdr:cNvCxnSpPr>
          <a:stCxn id="32" idx="3"/>
          <a:endCxn id="8" idx="7"/>
        </xdr:cNvCxnSpPr>
      </xdr:nvCxnSpPr>
      <xdr:spPr>
        <a:xfrm flipH="1">
          <a:off x="9993203" y="3728675"/>
          <a:ext cx="390427" cy="469104"/>
        </a:xfrm>
        <a:prstGeom prst="straightConnector1">
          <a:avLst/>
        </a:prstGeom>
        <a:ln w="6350">
          <a:solidFill>
            <a:srgbClr val="FFFFFF">
              <a:alpha val="9000"/>
            </a:srgbClr>
          </a:solidFill>
        </a:ln>
      </xdr:spPr>
    </xdr:cxnSp>
    <xdr:clientData/>
  </xdr:twoCellAnchor>
  <xdr:twoCellAnchor>
    <xdr:from>
      <xdr:col>73</xdr:col>
      <xdr:colOff>74023</xdr:colOff>
      <xdr:row>20</xdr:row>
      <xdr:rowOff>86382</xdr:rowOff>
    </xdr:from>
    <xdr:to>
      <xdr:col>79</xdr:col>
      <xdr:colOff>87203</xdr:colOff>
      <xdr:row>23</xdr:row>
      <xdr:rowOff>6779</xdr:rowOff>
    </xdr:to>
    <xdr:cxnSp macro="">
      <xdr:nvCxnSpPr>
        <xdr:cNvPr id="232" name="Line 10"/>
        <xdr:cNvCxnSpPr>
          <a:stCxn id="35" idx="5"/>
          <a:endCxn id="8" idx="1"/>
        </xdr:cNvCxnSpPr>
      </xdr:nvCxnSpPr>
      <xdr:spPr>
        <a:xfrm>
          <a:off x="8989423" y="3705882"/>
          <a:ext cx="1003779" cy="491897"/>
        </a:xfrm>
        <a:prstGeom prst="straightConnector1">
          <a:avLst/>
        </a:prstGeom>
        <a:ln w="6350">
          <a:solidFill>
            <a:srgbClr val="FFFFFF">
              <a:alpha val="9000"/>
            </a:srgbClr>
          </a:solidFill>
        </a:ln>
      </xdr:spPr>
    </xdr:cxnSp>
    <xdr:clientData/>
  </xdr:twoCellAnchor>
  <xdr:twoCellAnchor>
    <xdr:from>
      <xdr:col>79</xdr:col>
      <xdr:colOff>87203</xdr:colOff>
      <xdr:row>23</xdr:row>
      <xdr:rowOff>6779</xdr:rowOff>
    </xdr:from>
    <xdr:to>
      <xdr:col>81</xdr:col>
      <xdr:colOff>164457</xdr:colOff>
      <xdr:row>28</xdr:row>
      <xdr:rowOff>64806</xdr:rowOff>
    </xdr:to>
    <xdr:cxnSp macro="">
      <xdr:nvCxnSpPr>
        <xdr:cNvPr id="233" name="Line 11"/>
        <xdr:cNvCxnSpPr>
          <a:stCxn id="38" idx="0"/>
          <a:endCxn id="8" idx="4"/>
        </xdr:cNvCxnSpPr>
      </xdr:nvCxnSpPr>
      <xdr:spPr>
        <a:xfrm flipH="1" flipV="1">
          <a:off x="9993203" y="4197779"/>
          <a:ext cx="407454" cy="1010527"/>
        </a:xfrm>
        <a:prstGeom prst="straightConnector1">
          <a:avLst/>
        </a:prstGeom>
        <a:ln w="6350">
          <a:solidFill>
            <a:srgbClr val="FFFFFF">
              <a:alpha val="9000"/>
            </a:srgbClr>
          </a:solidFill>
        </a:ln>
      </xdr:spPr>
    </xdr:cxnSp>
    <xdr:clientData/>
  </xdr:twoCellAnchor>
  <xdr:twoCellAnchor>
    <xdr:from>
      <xdr:col>74</xdr:col>
      <xdr:colOff>65476</xdr:colOff>
      <xdr:row>23</xdr:row>
      <xdr:rowOff>6779</xdr:rowOff>
    </xdr:from>
    <xdr:to>
      <xdr:col>79</xdr:col>
      <xdr:colOff>87203</xdr:colOff>
      <xdr:row>23</xdr:row>
      <xdr:rowOff>61790</xdr:rowOff>
    </xdr:to>
    <xdr:cxnSp macro="">
      <xdr:nvCxnSpPr>
        <xdr:cNvPr id="234" name="Line 12"/>
        <xdr:cNvCxnSpPr>
          <a:stCxn id="41" idx="6"/>
          <a:endCxn id="8" idx="2"/>
        </xdr:cNvCxnSpPr>
      </xdr:nvCxnSpPr>
      <xdr:spPr>
        <a:xfrm flipV="1">
          <a:off x="9145976" y="4197779"/>
          <a:ext cx="847227" cy="55011"/>
        </a:xfrm>
        <a:prstGeom prst="straightConnector1">
          <a:avLst/>
        </a:prstGeom>
        <a:ln w="6350">
          <a:solidFill>
            <a:srgbClr val="FFFFFF">
              <a:alpha val="9000"/>
            </a:srgbClr>
          </a:solidFill>
        </a:ln>
      </xdr:spPr>
    </xdr:cxnSp>
    <xdr:clientData/>
  </xdr:twoCellAnchor>
  <xdr:twoCellAnchor>
    <xdr:from>
      <xdr:col>79</xdr:col>
      <xdr:colOff>87203</xdr:colOff>
      <xdr:row>19</xdr:row>
      <xdr:rowOff>33125</xdr:rowOff>
    </xdr:from>
    <xdr:to>
      <xdr:col>85</xdr:col>
      <xdr:colOff>59342</xdr:colOff>
      <xdr:row>23</xdr:row>
      <xdr:rowOff>6779</xdr:rowOff>
    </xdr:to>
    <xdr:cxnSp macro="">
      <xdr:nvCxnSpPr>
        <xdr:cNvPr id="235" name="Line 13"/>
        <xdr:cNvCxnSpPr>
          <a:stCxn id="44" idx="3"/>
          <a:endCxn id="8" idx="7"/>
        </xdr:cNvCxnSpPr>
      </xdr:nvCxnSpPr>
      <xdr:spPr>
        <a:xfrm flipH="1">
          <a:off x="9993203" y="3462125"/>
          <a:ext cx="962740" cy="735654"/>
        </a:xfrm>
        <a:prstGeom prst="straightConnector1">
          <a:avLst/>
        </a:prstGeom>
        <a:ln w="6350">
          <a:solidFill>
            <a:srgbClr val="FFFFFF">
              <a:alpha val="9000"/>
            </a:srgbClr>
          </a:solidFill>
        </a:ln>
      </xdr:spPr>
    </xdr:cxnSp>
    <xdr:clientData/>
  </xdr:twoCellAnchor>
  <xdr:twoCellAnchor>
    <xdr:from>
      <xdr:col>79</xdr:col>
      <xdr:colOff>87203</xdr:colOff>
      <xdr:row>22</xdr:row>
      <xdr:rowOff>23600</xdr:rowOff>
    </xdr:from>
    <xdr:to>
      <xdr:col>85</xdr:col>
      <xdr:colOff>59342</xdr:colOff>
      <xdr:row>23</xdr:row>
      <xdr:rowOff>6779</xdr:rowOff>
    </xdr:to>
    <xdr:cxnSp macro="">
      <xdr:nvCxnSpPr>
        <xdr:cNvPr id="236" name="Line 14"/>
        <xdr:cNvCxnSpPr>
          <a:stCxn id="47" idx="2"/>
          <a:endCxn id="8" idx="6"/>
        </xdr:cNvCxnSpPr>
      </xdr:nvCxnSpPr>
      <xdr:spPr>
        <a:xfrm flipH="1">
          <a:off x="9993203" y="4024100"/>
          <a:ext cx="962740" cy="173679"/>
        </a:xfrm>
        <a:prstGeom prst="straightConnector1">
          <a:avLst/>
        </a:prstGeom>
        <a:ln w="6350">
          <a:solidFill>
            <a:srgbClr val="FFFFFF">
              <a:alpha val="9000"/>
            </a:srgbClr>
          </a:solidFill>
        </a:ln>
      </xdr:spPr>
    </xdr:cxnSp>
    <xdr:clientData/>
  </xdr:twoCellAnchor>
  <xdr:twoCellAnchor>
    <xdr:from>
      <xdr:col>79</xdr:col>
      <xdr:colOff>87203</xdr:colOff>
      <xdr:row>23</xdr:row>
      <xdr:rowOff>6779</xdr:rowOff>
    </xdr:from>
    <xdr:to>
      <xdr:col>83</xdr:col>
      <xdr:colOff>99916</xdr:colOff>
      <xdr:row>25</xdr:row>
      <xdr:rowOff>92504</xdr:rowOff>
    </xdr:to>
    <xdr:cxnSp macro="">
      <xdr:nvCxnSpPr>
        <xdr:cNvPr id="237" name="Line 15"/>
        <xdr:cNvCxnSpPr>
          <a:stCxn id="50" idx="1"/>
          <a:endCxn id="8" idx="5"/>
        </xdr:cNvCxnSpPr>
      </xdr:nvCxnSpPr>
      <xdr:spPr>
        <a:xfrm flipH="1" flipV="1">
          <a:off x="9993203" y="4197779"/>
          <a:ext cx="673113" cy="466725"/>
        </a:xfrm>
        <a:prstGeom prst="straightConnector1">
          <a:avLst/>
        </a:prstGeom>
        <a:ln w="6350">
          <a:solidFill>
            <a:srgbClr val="FFFFFF">
              <a:alpha val="9000"/>
            </a:srgbClr>
          </a:solidFill>
        </a:ln>
      </xdr:spPr>
    </xdr:cxnSp>
    <xdr:clientData/>
  </xdr:twoCellAnchor>
  <xdr:twoCellAnchor>
    <xdr:from>
      <xdr:col>79</xdr:col>
      <xdr:colOff>87203</xdr:colOff>
      <xdr:row>21</xdr:row>
      <xdr:rowOff>16268</xdr:rowOff>
    </xdr:from>
    <xdr:to>
      <xdr:col>91</xdr:col>
      <xdr:colOff>18864</xdr:colOff>
      <xdr:row>23</xdr:row>
      <xdr:rowOff>6779</xdr:rowOff>
    </xdr:to>
    <xdr:cxnSp macro="">
      <xdr:nvCxnSpPr>
        <xdr:cNvPr id="238" name="Line 16"/>
        <xdr:cNvCxnSpPr>
          <a:stCxn id="53" idx="2"/>
          <a:endCxn id="8" idx="6"/>
        </xdr:cNvCxnSpPr>
      </xdr:nvCxnSpPr>
      <xdr:spPr>
        <a:xfrm flipH="1">
          <a:off x="9993203" y="3826268"/>
          <a:ext cx="1912862" cy="371511"/>
        </a:xfrm>
        <a:prstGeom prst="straightConnector1">
          <a:avLst/>
        </a:prstGeom>
        <a:ln w="6350">
          <a:solidFill>
            <a:srgbClr val="FFFFFF">
              <a:alpha val="9000"/>
            </a:srgbClr>
          </a:solidFill>
        </a:ln>
      </xdr:spPr>
    </xdr:cxnSp>
    <xdr:clientData/>
  </xdr:twoCellAnchor>
  <xdr:twoCellAnchor>
    <xdr:from>
      <xdr:col>70</xdr:col>
      <xdr:colOff>30917</xdr:colOff>
      <xdr:row>36</xdr:row>
      <xdr:rowOff>128754</xdr:rowOff>
    </xdr:from>
    <xdr:to>
      <xdr:col>73</xdr:col>
      <xdr:colOff>142958</xdr:colOff>
      <xdr:row>41</xdr:row>
      <xdr:rowOff>75773</xdr:rowOff>
    </xdr:to>
    <xdr:cxnSp macro="">
      <xdr:nvCxnSpPr>
        <xdr:cNvPr id="239" name="Line 17"/>
        <xdr:cNvCxnSpPr>
          <a:stCxn id="56" idx="7"/>
          <a:endCxn id="11" idx="3"/>
        </xdr:cNvCxnSpPr>
      </xdr:nvCxnSpPr>
      <xdr:spPr>
        <a:xfrm flipV="1">
          <a:off x="8451017" y="6796254"/>
          <a:ext cx="607341" cy="899519"/>
        </a:xfrm>
        <a:prstGeom prst="straightConnector1">
          <a:avLst/>
        </a:prstGeom>
        <a:ln w="6350">
          <a:solidFill>
            <a:srgbClr val="FFFFFF">
              <a:alpha val="9000"/>
            </a:srgbClr>
          </a:solidFill>
        </a:ln>
      </xdr:spPr>
    </xdr:cxnSp>
    <xdr:clientData/>
  </xdr:twoCellAnchor>
  <xdr:twoCellAnchor>
    <xdr:from>
      <xdr:col>73</xdr:col>
      <xdr:colOff>142958</xdr:colOff>
      <xdr:row>36</xdr:row>
      <xdr:rowOff>128754</xdr:rowOff>
    </xdr:from>
    <xdr:to>
      <xdr:col>77</xdr:col>
      <xdr:colOff>140975</xdr:colOff>
      <xdr:row>38</xdr:row>
      <xdr:rowOff>39193</xdr:rowOff>
    </xdr:to>
    <xdr:cxnSp macro="">
      <xdr:nvCxnSpPr>
        <xdr:cNvPr id="240" name="Line 18"/>
        <xdr:cNvCxnSpPr>
          <a:stCxn id="59" idx="1"/>
          <a:endCxn id="11" idx="5"/>
        </xdr:cNvCxnSpPr>
      </xdr:nvCxnSpPr>
      <xdr:spPr>
        <a:xfrm flipH="1" flipV="1">
          <a:off x="9058358" y="6796254"/>
          <a:ext cx="658417" cy="291439"/>
        </a:xfrm>
        <a:prstGeom prst="straightConnector1">
          <a:avLst/>
        </a:prstGeom>
        <a:ln w="6350">
          <a:solidFill>
            <a:srgbClr val="FFFFFF">
              <a:alpha val="9000"/>
            </a:srgbClr>
          </a:solidFill>
        </a:ln>
      </xdr:spPr>
    </xdr:cxnSp>
    <xdr:clientData/>
  </xdr:twoCellAnchor>
  <xdr:twoCellAnchor>
    <xdr:from>
      <xdr:col>73</xdr:col>
      <xdr:colOff>142958</xdr:colOff>
      <xdr:row>36</xdr:row>
      <xdr:rowOff>128754</xdr:rowOff>
    </xdr:from>
    <xdr:to>
      <xdr:col>82</xdr:col>
      <xdr:colOff>102486</xdr:colOff>
      <xdr:row>40</xdr:row>
      <xdr:rowOff>51166</xdr:rowOff>
    </xdr:to>
    <xdr:cxnSp macro="">
      <xdr:nvCxnSpPr>
        <xdr:cNvPr id="241" name="Line 19"/>
        <xdr:cNvCxnSpPr>
          <a:stCxn id="62" idx="1"/>
          <a:endCxn id="11" idx="5"/>
        </xdr:cNvCxnSpPr>
      </xdr:nvCxnSpPr>
      <xdr:spPr>
        <a:xfrm flipH="1" flipV="1">
          <a:off x="9058358" y="6796254"/>
          <a:ext cx="1445428" cy="684412"/>
        </a:xfrm>
        <a:prstGeom prst="straightConnector1">
          <a:avLst/>
        </a:prstGeom>
        <a:ln w="6350">
          <a:solidFill>
            <a:srgbClr val="FFFFFF">
              <a:alpha val="9000"/>
            </a:srgbClr>
          </a:solidFill>
        </a:ln>
      </xdr:spPr>
    </xdr:cxnSp>
    <xdr:clientData/>
  </xdr:twoCellAnchor>
  <xdr:twoCellAnchor>
    <xdr:from>
      <xdr:col>73</xdr:col>
      <xdr:colOff>36995</xdr:colOff>
      <xdr:row>36</xdr:row>
      <xdr:rowOff>128754</xdr:rowOff>
    </xdr:from>
    <xdr:to>
      <xdr:col>73</xdr:col>
      <xdr:colOff>142958</xdr:colOff>
      <xdr:row>44</xdr:row>
      <xdr:rowOff>66668</xdr:rowOff>
    </xdr:to>
    <xdr:cxnSp macro="">
      <xdr:nvCxnSpPr>
        <xdr:cNvPr id="242" name="Line 20"/>
        <xdr:cNvCxnSpPr>
          <a:stCxn id="65" idx="0"/>
          <a:endCxn id="11" idx="4"/>
        </xdr:cNvCxnSpPr>
      </xdr:nvCxnSpPr>
      <xdr:spPr>
        <a:xfrm flipV="1">
          <a:off x="8952395" y="6796254"/>
          <a:ext cx="105963" cy="1461914"/>
        </a:xfrm>
        <a:prstGeom prst="straightConnector1">
          <a:avLst/>
        </a:prstGeom>
        <a:ln w="6350">
          <a:solidFill>
            <a:srgbClr val="FFFFFF">
              <a:alpha val="9000"/>
            </a:srgbClr>
          </a:solidFill>
        </a:ln>
      </xdr:spPr>
    </xdr:cxnSp>
    <xdr:clientData/>
  </xdr:twoCellAnchor>
  <xdr:twoCellAnchor>
    <xdr:from>
      <xdr:col>73</xdr:col>
      <xdr:colOff>142958</xdr:colOff>
      <xdr:row>36</xdr:row>
      <xdr:rowOff>128754</xdr:rowOff>
    </xdr:from>
    <xdr:to>
      <xdr:col>76</xdr:col>
      <xdr:colOff>7919</xdr:colOff>
      <xdr:row>41</xdr:row>
      <xdr:rowOff>14273</xdr:rowOff>
    </xdr:to>
    <xdr:cxnSp macro="">
      <xdr:nvCxnSpPr>
        <xdr:cNvPr id="243" name="Line 21"/>
        <xdr:cNvCxnSpPr>
          <a:stCxn id="68" idx="1"/>
          <a:endCxn id="11" idx="5"/>
        </xdr:cNvCxnSpPr>
      </xdr:nvCxnSpPr>
      <xdr:spPr>
        <a:xfrm flipH="1" flipV="1">
          <a:off x="9058358" y="6796254"/>
          <a:ext cx="360261" cy="838019"/>
        </a:xfrm>
        <a:prstGeom prst="straightConnector1">
          <a:avLst/>
        </a:prstGeom>
        <a:ln w="6350">
          <a:solidFill>
            <a:srgbClr val="FFFFFF">
              <a:alpha val="9000"/>
            </a:srgbClr>
          </a:solidFill>
        </a:ln>
      </xdr:spPr>
    </xdr:cxnSp>
    <xdr:clientData/>
  </xdr:twoCellAnchor>
  <xdr:twoCellAnchor>
    <xdr:from>
      <xdr:col>73</xdr:col>
      <xdr:colOff>142958</xdr:colOff>
      <xdr:row>35</xdr:row>
      <xdr:rowOff>33575</xdr:rowOff>
    </xdr:from>
    <xdr:to>
      <xdr:col>77</xdr:col>
      <xdr:colOff>134339</xdr:colOff>
      <xdr:row>36</xdr:row>
      <xdr:rowOff>128754</xdr:rowOff>
    </xdr:to>
    <xdr:cxnSp macro="">
      <xdr:nvCxnSpPr>
        <xdr:cNvPr id="244" name="Line 22"/>
        <xdr:cNvCxnSpPr>
          <a:stCxn id="71" idx="3"/>
          <a:endCxn id="11" idx="7"/>
        </xdr:cNvCxnSpPr>
      </xdr:nvCxnSpPr>
      <xdr:spPr>
        <a:xfrm flipH="1">
          <a:off x="9058358" y="6510575"/>
          <a:ext cx="651781" cy="285679"/>
        </a:xfrm>
        <a:prstGeom prst="straightConnector1">
          <a:avLst/>
        </a:prstGeom>
        <a:ln w="6350">
          <a:solidFill>
            <a:srgbClr val="FFFFFF">
              <a:alpha val="9000"/>
            </a:srgbClr>
          </a:solidFill>
        </a:ln>
      </xdr:spPr>
    </xdr:cxnSp>
    <xdr:clientData/>
  </xdr:twoCellAnchor>
  <xdr:twoCellAnchor>
    <xdr:from>
      <xdr:col>73</xdr:col>
      <xdr:colOff>142958</xdr:colOff>
      <xdr:row>32</xdr:row>
      <xdr:rowOff>58054</xdr:rowOff>
    </xdr:from>
    <xdr:to>
      <xdr:col>79</xdr:col>
      <xdr:colOff>93</xdr:colOff>
      <xdr:row>36</xdr:row>
      <xdr:rowOff>128754</xdr:rowOff>
    </xdr:to>
    <xdr:cxnSp macro="">
      <xdr:nvCxnSpPr>
        <xdr:cNvPr id="245" name="Line 23"/>
        <xdr:cNvCxnSpPr>
          <a:stCxn id="74" idx="3"/>
          <a:endCxn id="11" idx="7"/>
        </xdr:cNvCxnSpPr>
      </xdr:nvCxnSpPr>
      <xdr:spPr>
        <a:xfrm flipH="1">
          <a:off x="9058358" y="5963554"/>
          <a:ext cx="847735" cy="832700"/>
        </a:xfrm>
        <a:prstGeom prst="straightConnector1">
          <a:avLst/>
        </a:prstGeom>
        <a:ln w="6350">
          <a:solidFill>
            <a:srgbClr val="FFFFFF">
              <a:alpha val="9000"/>
            </a:srgbClr>
          </a:solidFill>
        </a:ln>
      </xdr:spPr>
    </xdr:cxnSp>
    <xdr:clientData/>
  </xdr:twoCellAnchor>
  <xdr:twoCellAnchor>
    <xdr:from>
      <xdr:col>73</xdr:col>
      <xdr:colOff>142958</xdr:colOff>
      <xdr:row>28</xdr:row>
      <xdr:rowOff>179662</xdr:rowOff>
    </xdr:from>
    <xdr:to>
      <xdr:col>74</xdr:col>
      <xdr:colOff>107456</xdr:colOff>
      <xdr:row>36</xdr:row>
      <xdr:rowOff>128754</xdr:rowOff>
    </xdr:to>
    <xdr:cxnSp macro="">
      <xdr:nvCxnSpPr>
        <xdr:cNvPr id="246" name="Line 24"/>
        <xdr:cNvCxnSpPr>
          <a:stCxn id="77" idx="4"/>
          <a:endCxn id="11" idx="0"/>
        </xdr:cNvCxnSpPr>
      </xdr:nvCxnSpPr>
      <xdr:spPr>
        <a:xfrm flipH="1">
          <a:off x="9058358" y="5323162"/>
          <a:ext cx="129598" cy="1473092"/>
        </a:xfrm>
        <a:prstGeom prst="straightConnector1">
          <a:avLst/>
        </a:prstGeom>
        <a:ln w="6350">
          <a:solidFill>
            <a:srgbClr val="FFFFFF">
              <a:alpha val="9000"/>
            </a:srgbClr>
          </a:solidFill>
        </a:ln>
      </xdr:spPr>
    </xdr:cxnSp>
    <xdr:clientData/>
  </xdr:twoCellAnchor>
  <xdr:twoCellAnchor>
    <xdr:from>
      <xdr:col>73</xdr:col>
      <xdr:colOff>142958</xdr:colOff>
      <xdr:row>36</xdr:row>
      <xdr:rowOff>128754</xdr:rowOff>
    </xdr:from>
    <xdr:to>
      <xdr:col>82</xdr:col>
      <xdr:colOff>24008</xdr:colOff>
      <xdr:row>37</xdr:row>
      <xdr:rowOff>49333</xdr:rowOff>
    </xdr:to>
    <xdr:cxnSp macro="">
      <xdr:nvCxnSpPr>
        <xdr:cNvPr id="247" name="Line 25"/>
        <xdr:cNvCxnSpPr>
          <a:stCxn id="80" idx="2"/>
          <a:endCxn id="11" idx="6"/>
        </xdr:cNvCxnSpPr>
      </xdr:nvCxnSpPr>
      <xdr:spPr>
        <a:xfrm flipH="1" flipV="1">
          <a:off x="9058358" y="6796254"/>
          <a:ext cx="1366949" cy="111079"/>
        </a:xfrm>
        <a:prstGeom prst="straightConnector1">
          <a:avLst/>
        </a:prstGeom>
        <a:ln w="6350">
          <a:solidFill>
            <a:srgbClr val="FFFFFF">
              <a:alpha val="9000"/>
            </a:srgbClr>
          </a:solidFill>
        </a:ln>
      </xdr:spPr>
    </xdr:cxnSp>
    <xdr:clientData/>
  </xdr:twoCellAnchor>
  <xdr:twoCellAnchor>
    <xdr:from>
      <xdr:col>73</xdr:col>
      <xdr:colOff>142958</xdr:colOff>
      <xdr:row>34</xdr:row>
      <xdr:rowOff>68383</xdr:rowOff>
    </xdr:from>
    <xdr:to>
      <xdr:col>82</xdr:col>
      <xdr:colOff>138481</xdr:colOff>
      <xdr:row>36</xdr:row>
      <xdr:rowOff>128754</xdr:rowOff>
    </xdr:to>
    <xdr:cxnSp macro="">
      <xdr:nvCxnSpPr>
        <xdr:cNvPr id="248" name="Line 26"/>
        <xdr:cNvCxnSpPr>
          <a:stCxn id="83" idx="2"/>
          <a:endCxn id="11" idx="6"/>
        </xdr:cNvCxnSpPr>
      </xdr:nvCxnSpPr>
      <xdr:spPr>
        <a:xfrm flipH="1">
          <a:off x="9058358" y="6354883"/>
          <a:ext cx="1481423" cy="441371"/>
        </a:xfrm>
        <a:prstGeom prst="straightConnector1">
          <a:avLst/>
        </a:prstGeom>
        <a:ln w="6350">
          <a:solidFill>
            <a:srgbClr val="FFFFFF">
              <a:alpha val="9000"/>
            </a:srgbClr>
          </a:solidFill>
        </a:ln>
      </xdr:spPr>
    </xdr:cxnSp>
    <xdr:clientData/>
  </xdr:twoCellAnchor>
  <xdr:twoCellAnchor>
    <xdr:from>
      <xdr:col>73</xdr:col>
      <xdr:colOff>142958</xdr:colOff>
      <xdr:row>36</xdr:row>
      <xdr:rowOff>128754</xdr:rowOff>
    </xdr:from>
    <xdr:to>
      <xdr:col>79</xdr:col>
      <xdr:colOff>58736</xdr:colOff>
      <xdr:row>44</xdr:row>
      <xdr:rowOff>4748</xdr:rowOff>
    </xdr:to>
    <xdr:cxnSp macro="">
      <xdr:nvCxnSpPr>
        <xdr:cNvPr id="249" name="Line 27"/>
        <xdr:cNvCxnSpPr>
          <a:stCxn id="86" idx="1"/>
          <a:endCxn id="11" idx="5"/>
        </xdr:cNvCxnSpPr>
      </xdr:nvCxnSpPr>
      <xdr:spPr>
        <a:xfrm flipH="1" flipV="1">
          <a:off x="9058358" y="6796254"/>
          <a:ext cx="906378" cy="1399994"/>
        </a:xfrm>
        <a:prstGeom prst="straightConnector1">
          <a:avLst/>
        </a:prstGeom>
        <a:ln w="6350">
          <a:solidFill>
            <a:srgbClr val="FFFFFF">
              <a:alpha val="9000"/>
            </a:srgbClr>
          </a:solidFill>
        </a:ln>
      </xdr:spPr>
    </xdr:cxnSp>
    <xdr:clientData/>
  </xdr:twoCellAnchor>
  <xdr:twoCellAnchor>
    <xdr:from>
      <xdr:col>73</xdr:col>
      <xdr:colOff>69412</xdr:colOff>
      <xdr:row>31</xdr:row>
      <xdr:rowOff>116790</xdr:rowOff>
    </xdr:from>
    <xdr:to>
      <xdr:col>73</xdr:col>
      <xdr:colOff>142958</xdr:colOff>
      <xdr:row>36</xdr:row>
      <xdr:rowOff>128754</xdr:rowOff>
    </xdr:to>
    <xdr:cxnSp macro="">
      <xdr:nvCxnSpPr>
        <xdr:cNvPr id="250" name="Line 28"/>
        <xdr:cNvCxnSpPr>
          <a:stCxn id="89" idx="4"/>
          <a:endCxn id="11" idx="0"/>
        </xdr:cNvCxnSpPr>
      </xdr:nvCxnSpPr>
      <xdr:spPr>
        <a:xfrm>
          <a:off x="8984812" y="5831790"/>
          <a:ext cx="73546" cy="964464"/>
        </a:xfrm>
        <a:prstGeom prst="straightConnector1">
          <a:avLst/>
        </a:prstGeom>
        <a:ln w="6350">
          <a:solidFill>
            <a:srgbClr val="FFFFFF">
              <a:alpha val="9000"/>
            </a:srgbClr>
          </a:solidFill>
        </a:ln>
      </xdr:spPr>
    </xdr:cxnSp>
    <xdr:clientData/>
  </xdr:twoCellAnchor>
  <xdr:twoCellAnchor>
    <xdr:from>
      <xdr:col>58</xdr:col>
      <xdr:colOff>59027</xdr:colOff>
      <xdr:row>33</xdr:row>
      <xdr:rowOff>115831</xdr:rowOff>
    </xdr:from>
    <xdr:to>
      <xdr:col>61</xdr:col>
      <xdr:colOff>33918</xdr:colOff>
      <xdr:row>42</xdr:row>
      <xdr:rowOff>146416</xdr:rowOff>
    </xdr:to>
    <xdr:cxnSp macro="">
      <xdr:nvCxnSpPr>
        <xdr:cNvPr id="251" name="Line 29"/>
        <xdr:cNvCxnSpPr>
          <a:stCxn id="92" idx="0"/>
          <a:endCxn id="14" idx="4"/>
        </xdr:cNvCxnSpPr>
      </xdr:nvCxnSpPr>
      <xdr:spPr>
        <a:xfrm flipH="1" flipV="1">
          <a:off x="6497927" y="6211831"/>
          <a:ext cx="470191" cy="1745085"/>
        </a:xfrm>
        <a:prstGeom prst="straightConnector1">
          <a:avLst/>
        </a:prstGeom>
        <a:ln w="6350">
          <a:solidFill>
            <a:srgbClr val="FFFFFF">
              <a:alpha val="9000"/>
            </a:srgbClr>
          </a:solidFill>
        </a:ln>
      </xdr:spPr>
    </xdr:cxnSp>
    <xdr:clientData/>
  </xdr:twoCellAnchor>
  <xdr:twoCellAnchor>
    <xdr:from>
      <xdr:col>58</xdr:col>
      <xdr:colOff>59027</xdr:colOff>
      <xdr:row>33</xdr:row>
      <xdr:rowOff>115831</xdr:rowOff>
    </xdr:from>
    <xdr:to>
      <xdr:col>60</xdr:col>
      <xdr:colOff>13833</xdr:colOff>
      <xdr:row>38</xdr:row>
      <xdr:rowOff>67671</xdr:rowOff>
    </xdr:to>
    <xdr:cxnSp macro="">
      <xdr:nvCxnSpPr>
        <xdr:cNvPr id="252" name="Line 30"/>
        <xdr:cNvCxnSpPr>
          <a:stCxn id="95" idx="0"/>
          <a:endCxn id="14" idx="4"/>
        </xdr:cNvCxnSpPr>
      </xdr:nvCxnSpPr>
      <xdr:spPr>
        <a:xfrm flipH="1" flipV="1">
          <a:off x="6497927" y="6211831"/>
          <a:ext cx="285006" cy="904340"/>
        </a:xfrm>
        <a:prstGeom prst="straightConnector1">
          <a:avLst/>
        </a:prstGeom>
        <a:ln w="6350">
          <a:solidFill>
            <a:srgbClr val="FFFFFF">
              <a:alpha val="9000"/>
            </a:srgbClr>
          </a:solidFill>
        </a:ln>
      </xdr:spPr>
    </xdr:cxnSp>
    <xdr:clientData/>
  </xdr:twoCellAnchor>
  <xdr:twoCellAnchor>
    <xdr:from>
      <xdr:col>46</xdr:col>
      <xdr:colOff>115757</xdr:colOff>
      <xdr:row>33</xdr:row>
      <xdr:rowOff>115831</xdr:rowOff>
    </xdr:from>
    <xdr:to>
      <xdr:col>58</xdr:col>
      <xdr:colOff>59027</xdr:colOff>
      <xdr:row>40</xdr:row>
      <xdr:rowOff>128751</xdr:rowOff>
    </xdr:to>
    <xdr:cxnSp macro="">
      <xdr:nvCxnSpPr>
        <xdr:cNvPr id="253" name="Line 31"/>
        <xdr:cNvCxnSpPr>
          <a:stCxn id="98" idx="7"/>
          <a:endCxn id="14" idx="3"/>
        </xdr:cNvCxnSpPr>
      </xdr:nvCxnSpPr>
      <xdr:spPr>
        <a:xfrm flipV="1">
          <a:off x="4573457" y="6211831"/>
          <a:ext cx="1924470" cy="1346420"/>
        </a:xfrm>
        <a:prstGeom prst="straightConnector1">
          <a:avLst/>
        </a:prstGeom>
        <a:ln w="6350">
          <a:solidFill>
            <a:srgbClr val="FFFFFF">
              <a:alpha val="9000"/>
            </a:srgbClr>
          </a:solidFill>
        </a:ln>
      </xdr:spPr>
    </xdr:cxnSp>
    <xdr:clientData/>
  </xdr:twoCellAnchor>
  <xdr:twoCellAnchor>
    <xdr:from>
      <xdr:col>50</xdr:col>
      <xdr:colOff>22907</xdr:colOff>
      <xdr:row>33</xdr:row>
      <xdr:rowOff>115831</xdr:rowOff>
    </xdr:from>
    <xdr:to>
      <xdr:col>58</xdr:col>
      <xdr:colOff>59027</xdr:colOff>
      <xdr:row>37</xdr:row>
      <xdr:rowOff>134793</xdr:rowOff>
    </xdr:to>
    <xdr:cxnSp macro="">
      <xdr:nvCxnSpPr>
        <xdr:cNvPr id="254" name="Line 32"/>
        <xdr:cNvCxnSpPr>
          <a:stCxn id="101" idx="7"/>
          <a:endCxn id="14" idx="3"/>
        </xdr:cNvCxnSpPr>
      </xdr:nvCxnSpPr>
      <xdr:spPr>
        <a:xfrm flipV="1">
          <a:off x="5141007" y="6211831"/>
          <a:ext cx="1356919" cy="780962"/>
        </a:xfrm>
        <a:prstGeom prst="straightConnector1">
          <a:avLst/>
        </a:prstGeom>
        <a:ln w="6350">
          <a:solidFill>
            <a:srgbClr val="FFFFFF">
              <a:alpha val="9000"/>
            </a:srgbClr>
          </a:solidFill>
        </a:ln>
      </xdr:spPr>
    </xdr:cxnSp>
    <xdr:clientData/>
  </xdr:twoCellAnchor>
  <xdr:twoCellAnchor>
    <xdr:from>
      <xdr:col>57</xdr:col>
      <xdr:colOff>44018</xdr:colOff>
      <xdr:row>33</xdr:row>
      <xdr:rowOff>115831</xdr:rowOff>
    </xdr:from>
    <xdr:to>
      <xdr:col>58</xdr:col>
      <xdr:colOff>59027</xdr:colOff>
      <xdr:row>35</xdr:row>
      <xdr:rowOff>163087</xdr:rowOff>
    </xdr:to>
    <xdr:cxnSp macro="">
      <xdr:nvCxnSpPr>
        <xdr:cNvPr id="255" name="Line 33"/>
        <xdr:cNvCxnSpPr>
          <a:stCxn id="104" idx="7"/>
          <a:endCxn id="14" idx="3"/>
        </xdr:cNvCxnSpPr>
      </xdr:nvCxnSpPr>
      <xdr:spPr>
        <a:xfrm flipV="1">
          <a:off x="6317818" y="6211831"/>
          <a:ext cx="180108" cy="428256"/>
        </a:xfrm>
        <a:prstGeom prst="straightConnector1">
          <a:avLst/>
        </a:prstGeom>
        <a:ln w="6350">
          <a:solidFill>
            <a:srgbClr val="FFFFFF">
              <a:alpha val="9000"/>
            </a:srgbClr>
          </a:solidFill>
        </a:ln>
      </xdr:spPr>
    </xdr:cxnSp>
    <xdr:clientData/>
  </xdr:twoCellAnchor>
  <xdr:twoCellAnchor>
    <xdr:from>
      <xdr:col>58</xdr:col>
      <xdr:colOff>59027</xdr:colOff>
      <xdr:row>29</xdr:row>
      <xdr:rowOff>126199</xdr:rowOff>
    </xdr:from>
    <xdr:to>
      <xdr:col>67</xdr:col>
      <xdr:colOff>49996</xdr:colOff>
      <xdr:row>33</xdr:row>
      <xdr:rowOff>115831</xdr:rowOff>
    </xdr:to>
    <xdr:cxnSp macro="">
      <xdr:nvCxnSpPr>
        <xdr:cNvPr id="256" name="Line 34"/>
        <xdr:cNvCxnSpPr>
          <a:stCxn id="107" idx="3"/>
          <a:endCxn id="14" idx="7"/>
        </xdr:cNvCxnSpPr>
      </xdr:nvCxnSpPr>
      <xdr:spPr>
        <a:xfrm flipH="1">
          <a:off x="6497927" y="5460199"/>
          <a:ext cx="1476869" cy="751632"/>
        </a:xfrm>
        <a:prstGeom prst="straightConnector1">
          <a:avLst/>
        </a:prstGeom>
        <a:ln w="6350">
          <a:solidFill>
            <a:srgbClr val="FFFFFF">
              <a:alpha val="9000"/>
            </a:srgbClr>
          </a:solidFill>
        </a:ln>
      </xdr:spPr>
    </xdr:cxnSp>
    <xdr:clientData/>
  </xdr:twoCellAnchor>
  <xdr:twoCellAnchor>
    <xdr:from>
      <xdr:col>58</xdr:col>
      <xdr:colOff>59027</xdr:colOff>
      <xdr:row>27</xdr:row>
      <xdr:rowOff>176080</xdr:rowOff>
    </xdr:from>
    <xdr:to>
      <xdr:col>59</xdr:col>
      <xdr:colOff>140300</xdr:colOff>
      <xdr:row>33</xdr:row>
      <xdr:rowOff>115831</xdr:rowOff>
    </xdr:to>
    <xdr:cxnSp macro="">
      <xdr:nvCxnSpPr>
        <xdr:cNvPr id="257" name="Line 35"/>
        <xdr:cNvCxnSpPr>
          <a:stCxn id="110" idx="4"/>
          <a:endCxn id="14" idx="0"/>
        </xdr:cNvCxnSpPr>
      </xdr:nvCxnSpPr>
      <xdr:spPr>
        <a:xfrm flipH="1">
          <a:off x="6497927" y="5129080"/>
          <a:ext cx="246373" cy="1082751"/>
        </a:xfrm>
        <a:prstGeom prst="straightConnector1">
          <a:avLst/>
        </a:prstGeom>
        <a:ln w="6350">
          <a:solidFill>
            <a:srgbClr val="FFFFFF">
              <a:alpha val="9000"/>
            </a:srgbClr>
          </a:solidFill>
        </a:ln>
      </xdr:spPr>
    </xdr:cxnSp>
    <xdr:clientData/>
  </xdr:twoCellAnchor>
  <xdr:twoCellAnchor>
    <xdr:from>
      <xdr:col>45</xdr:col>
      <xdr:colOff>70283</xdr:colOff>
      <xdr:row>27</xdr:row>
      <xdr:rowOff>39828</xdr:rowOff>
    </xdr:from>
    <xdr:to>
      <xdr:col>58</xdr:col>
      <xdr:colOff>59027</xdr:colOff>
      <xdr:row>33</xdr:row>
      <xdr:rowOff>115831</xdr:rowOff>
    </xdr:to>
    <xdr:cxnSp macro="">
      <xdr:nvCxnSpPr>
        <xdr:cNvPr id="258" name="Line 36"/>
        <xdr:cNvCxnSpPr>
          <a:stCxn id="113" idx="5"/>
          <a:endCxn id="14" idx="1"/>
        </xdr:cNvCxnSpPr>
      </xdr:nvCxnSpPr>
      <xdr:spPr>
        <a:xfrm>
          <a:off x="4362883" y="4992828"/>
          <a:ext cx="2135044" cy="1219003"/>
        </a:xfrm>
        <a:prstGeom prst="straightConnector1">
          <a:avLst/>
        </a:prstGeom>
        <a:ln w="6350">
          <a:solidFill>
            <a:srgbClr val="FFFFFF">
              <a:alpha val="9000"/>
            </a:srgbClr>
          </a:solidFill>
        </a:ln>
      </xdr:spPr>
    </xdr:cxnSp>
    <xdr:clientData/>
  </xdr:twoCellAnchor>
  <xdr:twoCellAnchor>
    <xdr:from>
      <xdr:col>52</xdr:col>
      <xdr:colOff>126393</xdr:colOff>
      <xdr:row>33</xdr:row>
      <xdr:rowOff>115831</xdr:rowOff>
    </xdr:from>
    <xdr:to>
      <xdr:col>58</xdr:col>
      <xdr:colOff>59027</xdr:colOff>
      <xdr:row>40</xdr:row>
      <xdr:rowOff>39543</xdr:rowOff>
    </xdr:to>
    <xdr:cxnSp macro="">
      <xdr:nvCxnSpPr>
        <xdr:cNvPr id="259" name="Line 37"/>
        <xdr:cNvCxnSpPr>
          <a:stCxn id="116" idx="7"/>
          <a:endCxn id="14" idx="3"/>
        </xdr:cNvCxnSpPr>
      </xdr:nvCxnSpPr>
      <xdr:spPr>
        <a:xfrm flipV="1">
          <a:off x="5574693" y="6211831"/>
          <a:ext cx="923234" cy="1257212"/>
        </a:xfrm>
        <a:prstGeom prst="straightConnector1">
          <a:avLst/>
        </a:prstGeom>
        <a:ln w="6350">
          <a:solidFill>
            <a:srgbClr val="FFFFFF">
              <a:alpha val="9000"/>
            </a:srgbClr>
          </a:solidFill>
        </a:ln>
      </xdr:spPr>
    </xdr:cxnSp>
    <xdr:clientData/>
  </xdr:twoCellAnchor>
  <xdr:twoCellAnchor>
    <xdr:from>
      <xdr:col>41</xdr:col>
      <xdr:colOff>57894</xdr:colOff>
      <xdr:row>29</xdr:row>
      <xdr:rowOff>177552</xdr:rowOff>
    </xdr:from>
    <xdr:to>
      <xdr:col>58</xdr:col>
      <xdr:colOff>59027</xdr:colOff>
      <xdr:row>33</xdr:row>
      <xdr:rowOff>115831</xdr:rowOff>
    </xdr:to>
    <xdr:cxnSp macro="">
      <xdr:nvCxnSpPr>
        <xdr:cNvPr id="260" name="Line 38"/>
        <xdr:cNvCxnSpPr>
          <a:stCxn id="119" idx="6"/>
          <a:endCxn id="14" idx="2"/>
        </xdr:cNvCxnSpPr>
      </xdr:nvCxnSpPr>
      <xdr:spPr>
        <a:xfrm>
          <a:off x="3690094" y="5511552"/>
          <a:ext cx="2807833" cy="700279"/>
        </a:xfrm>
        <a:prstGeom prst="straightConnector1">
          <a:avLst/>
        </a:prstGeom>
        <a:ln w="6350">
          <a:solidFill>
            <a:srgbClr val="FFFFFF">
              <a:alpha val="9000"/>
            </a:srgbClr>
          </a:solidFill>
        </a:ln>
      </xdr:spPr>
    </xdr:cxnSp>
    <xdr:clientData/>
  </xdr:twoCellAnchor>
  <xdr:twoCellAnchor>
    <xdr:from>
      <xdr:col>47</xdr:col>
      <xdr:colOff>115853</xdr:colOff>
      <xdr:row>33</xdr:row>
      <xdr:rowOff>115831</xdr:rowOff>
    </xdr:from>
    <xdr:to>
      <xdr:col>58</xdr:col>
      <xdr:colOff>59027</xdr:colOff>
      <xdr:row>35</xdr:row>
      <xdr:rowOff>5572</xdr:rowOff>
    </xdr:to>
    <xdr:cxnSp macro="">
      <xdr:nvCxnSpPr>
        <xdr:cNvPr id="261" name="Line 39"/>
        <xdr:cNvCxnSpPr>
          <a:stCxn id="122" idx="6"/>
          <a:endCxn id="14" idx="2"/>
        </xdr:cNvCxnSpPr>
      </xdr:nvCxnSpPr>
      <xdr:spPr>
        <a:xfrm flipV="1">
          <a:off x="4738653" y="6211831"/>
          <a:ext cx="1759274" cy="270741"/>
        </a:xfrm>
        <a:prstGeom prst="straightConnector1">
          <a:avLst/>
        </a:prstGeom>
        <a:ln w="6350">
          <a:solidFill>
            <a:srgbClr val="FFFFFF">
              <a:alpha val="9000"/>
            </a:srgbClr>
          </a:solidFill>
        </a:ln>
      </xdr:spPr>
    </xdr:cxnSp>
    <xdr:clientData/>
  </xdr:twoCellAnchor>
  <xdr:twoCellAnchor>
    <xdr:from>
      <xdr:col>44</xdr:col>
      <xdr:colOff>25657</xdr:colOff>
      <xdr:row>33</xdr:row>
      <xdr:rowOff>115831</xdr:rowOff>
    </xdr:from>
    <xdr:to>
      <xdr:col>58</xdr:col>
      <xdr:colOff>59027</xdr:colOff>
      <xdr:row>38</xdr:row>
      <xdr:rowOff>37868</xdr:rowOff>
    </xdr:to>
    <xdr:cxnSp macro="">
      <xdr:nvCxnSpPr>
        <xdr:cNvPr id="262" name="Line 40"/>
        <xdr:cNvCxnSpPr>
          <a:stCxn id="125" idx="6"/>
          <a:endCxn id="14" idx="2"/>
        </xdr:cNvCxnSpPr>
      </xdr:nvCxnSpPr>
      <xdr:spPr>
        <a:xfrm flipV="1">
          <a:off x="4153157" y="6211831"/>
          <a:ext cx="2344770" cy="874538"/>
        </a:xfrm>
        <a:prstGeom prst="straightConnector1">
          <a:avLst/>
        </a:prstGeom>
        <a:ln w="6350">
          <a:solidFill>
            <a:srgbClr val="FFFFFF">
              <a:alpha val="9000"/>
            </a:srgbClr>
          </a:solidFill>
        </a:ln>
      </xdr:spPr>
    </xdr:cxnSp>
    <xdr:clientData/>
  </xdr:twoCellAnchor>
  <xdr:twoCellAnchor>
    <xdr:from>
      <xdr:col>58</xdr:col>
      <xdr:colOff>59027</xdr:colOff>
      <xdr:row>33</xdr:row>
      <xdr:rowOff>115831</xdr:rowOff>
    </xdr:from>
    <xdr:to>
      <xdr:col>65</xdr:col>
      <xdr:colOff>99558</xdr:colOff>
      <xdr:row>38</xdr:row>
      <xdr:rowOff>179372</xdr:rowOff>
    </xdr:to>
    <xdr:cxnSp macro="">
      <xdr:nvCxnSpPr>
        <xdr:cNvPr id="263" name="Line 41"/>
        <xdr:cNvCxnSpPr>
          <a:stCxn id="128" idx="1"/>
          <a:endCxn id="14" idx="5"/>
        </xdr:cNvCxnSpPr>
      </xdr:nvCxnSpPr>
      <xdr:spPr>
        <a:xfrm flipH="1" flipV="1">
          <a:off x="6497927" y="6211831"/>
          <a:ext cx="1196231" cy="1016041"/>
        </a:xfrm>
        <a:prstGeom prst="straightConnector1">
          <a:avLst/>
        </a:prstGeom>
        <a:ln w="6350">
          <a:solidFill>
            <a:srgbClr val="FFFFFF">
              <a:alpha val="9000"/>
            </a:srgbClr>
          </a:solidFill>
        </a:ln>
      </xdr:spPr>
    </xdr:cxnSp>
    <xdr:clientData/>
  </xdr:twoCellAnchor>
  <xdr:twoCellAnchor>
    <xdr:from>
      <xdr:col>58</xdr:col>
      <xdr:colOff>59027</xdr:colOff>
      <xdr:row>32</xdr:row>
      <xdr:rowOff>26187</xdr:rowOff>
    </xdr:from>
    <xdr:to>
      <xdr:col>64</xdr:col>
      <xdr:colOff>16824</xdr:colOff>
      <xdr:row>33</xdr:row>
      <xdr:rowOff>115831</xdr:rowOff>
    </xdr:to>
    <xdr:cxnSp macro="">
      <xdr:nvCxnSpPr>
        <xdr:cNvPr id="264" name="Line 42"/>
        <xdr:cNvCxnSpPr>
          <a:stCxn id="131" idx="2"/>
          <a:endCxn id="14" idx="6"/>
        </xdr:cNvCxnSpPr>
      </xdr:nvCxnSpPr>
      <xdr:spPr>
        <a:xfrm flipH="1">
          <a:off x="6497927" y="5931687"/>
          <a:ext cx="948397" cy="280144"/>
        </a:xfrm>
        <a:prstGeom prst="straightConnector1">
          <a:avLst/>
        </a:prstGeom>
        <a:ln w="6350">
          <a:solidFill>
            <a:srgbClr val="FFFFFF">
              <a:alpha val="9000"/>
            </a:srgbClr>
          </a:solidFill>
        </a:ln>
      </xdr:spPr>
    </xdr:cxnSp>
    <xdr:clientData/>
  </xdr:twoCellAnchor>
  <xdr:twoCellAnchor>
    <xdr:from>
      <xdr:col>52</xdr:col>
      <xdr:colOff>4299</xdr:colOff>
      <xdr:row>33</xdr:row>
      <xdr:rowOff>115831</xdr:rowOff>
    </xdr:from>
    <xdr:to>
      <xdr:col>58</xdr:col>
      <xdr:colOff>59027</xdr:colOff>
      <xdr:row>35</xdr:row>
      <xdr:rowOff>119365</xdr:rowOff>
    </xdr:to>
    <xdr:cxnSp macro="">
      <xdr:nvCxnSpPr>
        <xdr:cNvPr id="265" name="Line 43"/>
        <xdr:cNvCxnSpPr>
          <a:stCxn id="134" idx="6"/>
          <a:endCxn id="14" idx="2"/>
        </xdr:cNvCxnSpPr>
      </xdr:nvCxnSpPr>
      <xdr:spPr>
        <a:xfrm flipV="1">
          <a:off x="5452599" y="6211831"/>
          <a:ext cx="1045328" cy="384534"/>
        </a:xfrm>
        <a:prstGeom prst="straightConnector1">
          <a:avLst/>
        </a:prstGeom>
        <a:ln w="6350">
          <a:solidFill>
            <a:srgbClr val="FFFFFF">
              <a:alpha val="9000"/>
            </a:srgbClr>
          </a:solidFill>
        </a:ln>
      </xdr:spPr>
    </xdr:cxnSp>
    <xdr:clientData/>
  </xdr:twoCellAnchor>
  <xdr:twoCellAnchor>
    <xdr:from>
      <xdr:col>58</xdr:col>
      <xdr:colOff>59027</xdr:colOff>
      <xdr:row>30</xdr:row>
      <xdr:rowOff>35709</xdr:rowOff>
    </xdr:from>
    <xdr:to>
      <xdr:col>62</xdr:col>
      <xdr:colOff>19406</xdr:colOff>
      <xdr:row>33</xdr:row>
      <xdr:rowOff>115831</xdr:rowOff>
    </xdr:to>
    <xdr:cxnSp macro="">
      <xdr:nvCxnSpPr>
        <xdr:cNvPr id="266" name="Line 44"/>
        <xdr:cNvCxnSpPr>
          <a:stCxn id="137" idx="3"/>
          <a:endCxn id="14" idx="7"/>
        </xdr:cNvCxnSpPr>
      </xdr:nvCxnSpPr>
      <xdr:spPr>
        <a:xfrm flipH="1">
          <a:off x="6497927" y="5560209"/>
          <a:ext cx="620779" cy="651622"/>
        </a:xfrm>
        <a:prstGeom prst="straightConnector1">
          <a:avLst/>
        </a:prstGeom>
        <a:ln w="6350">
          <a:solidFill>
            <a:srgbClr val="FFFFFF">
              <a:alpha val="9000"/>
            </a:srgbClr>
          </a:solidFill>
        </a:ln>
      </xdr:spPr>
    </xdr:cxnSp>
    <xdr:clientData/>
  </xdr:twoCellAnchor>
  <xdr:twoCellAnchor>
    <xdr:from>
      <xdr:col>58</xdr:col>
      <xdr:colOff>25217</xdr:colOff>
      <xdr:row>33</xdr:row>
      <xdr:rowOff>115831</xdr:rowOff>
    </xdr:from>
    <xdr:to>
      <xdr:col>58</xdr:col>
      <xdr:colOff>59027</xdr:colOff>
      <xdr:row>40</xdr:row>
      <xdr:rowOff>123735</xdr:rowOff>
    </xdr:to>
    <xdr:cxnSp macro="">
      <xdr:nvCxnSpPr>
        <xdr:cNvPr id="267" name="Line 45"/>
        <xdr:cNvCxnSpPr>
          <a:stCxn id="140" idx="0"/>
          <a:endCxn id="14" idx="4"/>
        </xdr:cNvCxnSpPr>
      </xdr:nvCxnSpPr>
      <xdr:spPr>
        <a:xfrm flipV="1">
          <a:off x="6464117" y="6211831"/>
          <a:ext cx="33810" cy="1341404"/>
        </a:xfrm>
        <a:prstGeom prst="straightConnector1">
          <a:avLst/>
        </a:prstGeom>
        <a:ln w="6350">
          <a:solidFill>
            <a:srgbClr val="FFFFFF">
              <a:alpha val="9000"/>
            </a:srgbClr>
          </a:solidFill>
        </a:ln>
      </xdr:spPr>
    </xdr:cxnSp>
    <xdr:clientData/>
  </xdr:twoCellAnchor>
  <xdr:twoCellAnchor>
    <xdr:from>
      <xdr:col>58</xdr:col>
      <xdr:colOff>59027</xdr:colOff>
      <xdr:row>33</xdr:row>
      <xdr:rowOff>115831</xdr:rowOff>
    </xdr:from>
    <xdr:to>
      <xdr:col>67</xdr:col>
      <xdr:colOff>76844</xdr:colOff>
      <xdr:row>34</xdr:row>
      <xdr:rowOff>8887</xdr:rowOff>
    </xdr:to>
    <xdr:cxnSp macro="">
      <xdr:nvCxnSpPr>
        <xdr:cNvPr id="268" name="Line 46"/>
        <xdr:cNvCxnSpPr>
          <a:stCxn id="143" idx="2"/>
          <a:endCxn id="14" idx="6"/>
        </xdr:cNvCxnSpPr>
      </xdr:nvCxnSpPr>
      <xdr:spPr>
        <a:xfrm flipH="1" flipV="1">
          <a:off x="6497927" y="6211831"/>
          <a:ext cx="1503717" cy="83556"/>
        </a:xfrm>
        <a:prstGeom prst="straightConnector1">
          <a:avLst/>
        </a:prstGeom>
        <a:ln w="6350">
          <a:solidFill>
            <a:srgbClr val="FFFFFF">
              <a:alpha val="9000"/>
            </a:srgbClr>
          </a:solidFill>
        </a:ln>
      </xdr:spPr>
    </xdr:cxnSp>
    <xdr:clientData/>
  </xdr:twoCellAnchor>
  <xdr:twoCellAnchor>
    <xdr:from>
      <xdr:col>58</xdr:col>
      <xdr:colOff>59027</xdr:colOff>
      <xdr:row>33</xdr:row>
      <xdr:rowOff>115831</xdr:rowOff>
    </xdr:from>
    <xdr:to>
      <xdr:col>63</xdr:col>
      <xdr:colOff>143792</xdr:colOff>
      <xdr:row>36</xdr:row>
      <xdr:rowOff>18412</xdr:rowOff>
    </xdr:to>
    <xdr:cxnSp macro="">
      <xdr:nvCxnSpPr>
        <xdr:cNvPr id="269" name="Line 47"/>
        <xdr:cNvCxnSpPr>
          <a:stCxn id="146" idx="1"/>
          <a:endCxn id="14" idx="5"/>
        </xdr:cNvCxnSpPr>
      </xdr:nvCxnSpPr>
      <xdr:spPr>
        <a:xfrm flipH="1" flipV="1">
          <a:off x="6497927" y="6211831"/>
          <a:ext cx="910265" cy="474081"/>
        </a:xfrm>
        <a:prstGeom prst="straightConnector1">
          <a:avLst/>
        </a:prstGeom>
        <a:ln w="6350">
          <a:solidFill>
            <a:srgbClr val="FFFFFF">
              <a:alpha val="9000"/>
            </a:srgbClr>
          </a:solidFill>
        </a:ln>
      </xdr:spPr>
    </xdr:cxnSp>
    <xdr:clientData/>
  </xdr:twoCellAnchor>
  <xdr:twoCellAnchor>
    <xdr:from>
      <xdr:col>44</xdr:col>
      <xdr:colOff>147933</xdr:colOff>
      <xdr:row>33</xdr:row>
      <xdr:rowOff>115831</xdr:rowOff>
    </xdr:from>
    <xdr:to>
      <xdr:col>58</xdr:col>
      <xdr:colOff>59027</xdr:colOff>
      <xdr:row>33</xdr:row>
      <xdr:rowOff>148791</xdr:rowOff>
    </xdr:to>
    <xdr:cxnSp macro="">
      <xdr:nvCxnSpPr>
        <xdr:cNvPr id="270" name="Line 48"/>
        <xdr:cNvCxnSpPr>
          <a:stCxn id="149" idx="6"/>
          <a:endCxn id="14" idx="2"/>
        </xdr:cNvCxnSpPr>
      </xdr:nvCxnSpPr>
      <xdr:spPr>
        <a:xfrm flipV="1">
          <a:off x="4275433" y="6211831"/>
          <a:ext cx="2222494" cy="32960"/>
        </a:xfrm>
        <a:prstGeom prst="straightConnector1">
          <a:avLst/>
        </a:prstGeom>
        <a:ln w="6350">
          <a:solidFill>
            <a:srgbClr val="FFFFFF">
              <a:alpha val="9000"/>
            </a:srgbClr>
          </a:solidFill>
        </a:ln>
      </xdr:spPr>
    </xdr:cxnSp>
    <xdr:clientData/>
  </xdr:twoCellAnchor>
  <xdr:twoCellAnchor>
    <xdr:from>
      <xdr:col>44</xdr:col>
      <xdr:colOff>28131</xdr:colOff>
      <xdr:row>33</xdr:row>
      <xdr:rowOff>115831</xdr:rowOff>
    </xdr:from>
    <xdr:to>
      <xdr:col>58</xdr:col>
      <xdr:colOff>59027</xdr:colOff>
      <xdr:row>36</xdr:row>
      <xdr:rowOff>17047</xdr:rowOff>
    </xdr:to>
    <xdr:cxnSp macro="">
      <xdr:nvCxnSpPr>
        <xdr:cNvPr id="271" name="Line 49"/>
        <xdr:cNvCxnSpPr>
          <a:stCxn id="152" idx="6"/>
          <a:endCxn id="14" idx="2"/>
        </xdr:cNvCxnSpPr>
      </xdr:nvCxnSpPr>
      <xdr:spPr>
        <a:xfrm flipV="1">
          <a:off x="4155631" y="6211831"/>
          <a:ext cx="2342296" cy="472716"/>
        </a:xfrm>
        <a:prstGeom prst="straightConnector1">
          <a:avLst/>
        </a:prstGeom>
        <a:ln w="6350">
          <a:solidFill>
            <a:srgbClr val="FFFFFF">
              <a:alpha val="9000"/>
            </a:srgbClr>
          </a:solidFill>
        </a:ln>
      </xdr:spPr>
    </xdr:cxnSp>
    <xdr:clientData/>
  </xdr:twoCellAnchor>
  <xdr:twoCellAnchor>
    <xdr:from>
      <xdr:col>56</xdr:col>
      <xdr:colOff>114625</xdr:colOff>
      <xdr:row>25</xdr:row>
      <xdr:rowOff>87627</xdr:rowOff>
    </xdr:from>
    <xdr:to>
      <xdr:col>58</xdr:col>
      <xdr:colOff>59027</xdr:colOff>
      <xdr:row>33</xdr:row>
      <xdr:rowOff>115831</xdr:rowOff>
    </xdr:to>
    <xdr:cxnSp macro="">
      <xdr:nvCxnSpPr>
        <xdr:cNvPr id="272" name="Line 50"/>
        <xdr:cNvCxnSpPr>
          <a:stCxn id="155" idx="4"/>
          <a:endCxn id="14" idx="0"/>
        </xdr:cNvCxnSpPr>
      </xdr:nvCxnSpPr>
      <xdr:spPr>
        <a:xfrm>
          <a:off x="6223325" y="4659627"/>
          <a:ext cx="274602" cy="1552203"/>
        </a:xfrm>
        <a:prstGeom prst="straightConnector1">
          <a:avLst/>
        </a:prstGeom>
        <a:ln w="6350">
          <a:solidFill>
            <a:srgbClr val="FFFFFF">
              <a:alpha val="9000"/>
            </a:srgbClr>
          </a:solidFill>
        </a:ln>
      </xdr:spPr>
    </xdr:cxnSp>
    <xdr:clientData/>
  </xdr:twoCellAnchor>
  <xdr:twoCellAnchor>
    <xdr:from>
      <xdr:col>56</xdr:col>
      <xdr:colOff>9697</xdr:colOff>
      <xdr:row>18</xdr:row>
      <xdr:rowOff>130687</xdr:rowOff>
    </xdr:from>
    <xdr:to>
      <xdr:col>60</xdr:col>
      <xdr:colOff>90204</xdr:colOff>
      <xdr:row>20</xdr:row>
      <xdr:rowOff>148290</xdr:rowOff>
    </xdr:to>
    <xdr:cxnSp macro="">
      <xdr:nvCxnSpPr>
        <xdr:cNvPr id="273" name="Line 51"/>
        <xdr:cNvCxnSpPr>
          <a:stCxn id="158" idx="1"/>
          <a:endCxn id="17" idx="5"/>
        </xdr:cNvCxnSpPr>
      </xdr:nvCxnSpPr>
      <xdr:spPr>
        <a:xfrm flipH="1" flipV="1">
          <a:off x="6118397" y="3369187"/>
          <a:ext cx="740907" cy="398604"/>
        </a:xfrm>
        <a:prstGeom prst="straightConnector1">
          <a:avLst/>
        </a:prstGeom>
        <a:ln w="6350">
          <a:solidFill>
            <a:srgbClr val="FFFFFF">
              <a:alpha val="9000"/>
            </a:srgbClr>
          </a:solidFill>
        </a:ln>
      </xdr:spPr>
    </xdr:cxnSp>
    <xdr:clientData/>
  </xdr:twoCellAnchor>
  <xdr:twoCellAnchor>
    <xdr:from>
      <xdr:col>56</xdr:col>
      <xdr:colOff>9697</xdr:colOff>
      <xdr:row>18</xdr:row>
      <xdr:rowOff>130687</xdr:rowOff>
    </xdr:from>
    <xdr:to>
      <xdr:col>64</xdr:col>
      <xdr:colOff>24977</xdr:colOff>
      <xdr:row>19</xdr:row>
      <xdr:rowOff>12200</xdr:rowOff>
    </xdr:to>
    <xdr:cxnSp macro="">
      <xdr:nvCxnSpPr>
        <xdr:cNvPr id="274" name="Line 52"/>
        <xdr:cNvCxnSpPr>
          <a:stCxn id="161" idx="2"/>
          <a:endCxn id="17" idx="6"/>
        </xdr:cNvCxnSpPr>
      </xdr:nvCxnSpPr>
      <xdr:spPr>
        <a:xfrm flipH="1" flipV="1">
          <a:off x="6118397" y="3369187"/>
          <a:ext cx="1336081" cy="72013"/>
        </a:xfrm>
        <a:prstGeom prst="straightConnector1">
          <a:avLst/>
        </a:prstGeom>
        <a:ln w="6350">
          <a:solidFill>
            <a:srgbClr val="FFFFFF">
              <a:alpha val="9000"/>
            </a:srgbClr>
          </a:solidFill>
        </a:ln>
      </xdr:spPr>
    </xdr:cxnSp>
    <xdr:clientData/>
  </xdr:twoCellAnchor>
  <xdr:twoCellAnchor>
    <xdr:from>
      <xdr:col>51</xdr:col>
      <xdr:colOff>37706</xdr:colOff>
      <xdr:row>12</xdr:row>
      <xdr:rowOff>182376</xdr:rowOff>
    </xdr:from>
    <xdr:to>
      <xdr:col>56</xdr:col>
      <xdr:colOff>9697</xdr:colOff>
      <xdr:row>18</xdr:row>
      <xdr:rowOff>130687</xdr:rowOff>
    </xdr:to>
    <xdr:cxnSp macro="">
      <xdr:nvCxnSpPr>
        <xdr:cNvPr id="275" name="Line 53"/>
        <xdr:cNvCxnSpPr>
          <a:stCxn id="164" idx="5"/>
          <a:endCxn id="17" idx="1"/>
        </xdr:cNvCxnSpPr>
      </xdr:nvCxnSpPr>
      <xdr:spPr>
        <a:xfrm>
          <a:off x="5320906" y="2277876"/>
          <a:ext cx="797490" cy="1091311"/>
        </a:xfrm>
        <a:prstGeom prst="straightConnector1">
          <a:avLst/>
        </a:prstGeom>
        <a:ln w="6350">
          <a:solidFill>
            <a:srgbClr val="FFFFFF">
              <a:alpha val="9000"/>
            </a:srgbClr>
          </a:solidFill>
        </a:ln>
      </xdr:spPr>
    </xdr:cxnSp>
    <xdr:clientData/>
  </xdr:twoCellAnchor>
  <xdr:twoCellAnchor>
    <xdr:from>
      <xdr:col>56</xdr:col>
      <xdr:colOff>9697</xdr:colOff>
      <xdr:row>14</xdr:row>
      <xdr:rowOff>71421</xdr:rowOff>
    </xdr:from>
    <xdr:to>
      <xdr:col>58</xdr:col>
      <xdr:colOff>33156</xdr:colOff>
      <xdr:row>18</xdr:row>
      <xdr:rowOff>130687</xdr:rowOff>
    </xdr:to>
    <xdr:cxnSp macro="">
      <xdr:nvCxnSpPr>
        <xdr:cNvPr id="276" name="Line 54"/>
        <xdr:cNvCxnSpPr>
          <a:stCxn id="167" idx="3"/>
          <a:endCxn id="17" idx="7"/>
        </xdr:cNvCxnSpPr>
      </xdr:nvCxnSpPr>
      <xdr:spPr>
        <a:xfrm flipH="1">
          <a:off x="6118397" y="2547921"/>
          <a:ext cx="353660" cy="821266"/>
        </a:xfrm>
        <a:prstGeom prst="straightConnector1">
          <a:avLst/>
        </a:prstGeom>
        <a:ln w="6350">
          <a:solidFill>
            <a:srgbClr val="FFFFFF">
              <a:alpha val="9000"/>
            </a:srgbClr>
          </a:solidFill>
        </a:ln>
      </xdr:spPr>
    </xdr:cxnSp>
    <xdr:clientData/>
  </xdr:twoCellAnchor>
  <xdr:twoCellAnchor>
    <xdr:from>
      <xdr:col>51</xdr:col>
      <xdr:colOff>152152</xdr:colOff>
      <xdr:row>18</xdr:row>
      <xdr:rowOff>130687</xdr:rowOff>
    </xdr:from>
    <xdr:to>
      <xdr:col>56</xdr:col>
      <xdr:colOff>9697</xdr:colOff>
      <xdr:row>24</xdr:row>
      <xdr:rowOff>139078</xdr:rowOff>
    </xdr:to>
    <xdr:cxnSp macro="">
      <xdr:nvCxnSpPr>
        <xdr:cNvPr id="277" name="Line 55"/>
        <xdr:cNvCxnSpPr>
          <a:stCxn id="170" idx="7"/>
          <a:endCxn id="17" idx="3"/>
        </xdr:cNvCxnSpPr>
      </xdr:nvCxnSpPr>
      <xdr:spPr>
        <a:xfrm flipV="1">
          <a:off x="5435352" y="3369187"/>
          <a:ext cx="683044" cy="1151391"/>
        </a:xfrm>
        <a:prstGeom prst="straightConnector1">
          <a:avLst/>
        </a:prstGeom>
        <a:ln w="6350">
          <a:solidFill>
            <a:srgbClr val="FFFFFF">
              <a:alpha val="9000"/>
            </a:srgbClr>
          </a:solidFill>
        </a:ln>
      </xdr:spPr>
    </xdr:cxnSp>
    <xdr:clientData/>
  </xdr:twoCellAnchor>
  <xdr:twoCellAnchor>
    <xdr:from>
      <xdr:col>54</xdr:col>
      <xdr:colOff>113757</xdr:colOff>
      <xdr:row>12</xdr:row>
      <xdr:rowOff>127189</xdr:rowOff>
    </xdr:from>
    <xdr:to>
      <xdr:col>56</xdr:col>
      <xdr:colOff>9697</xdr:colOff>
      <xdr:row>18</xdr:row>
      <xdr:rowOff>130687</xdr:rowOff>
    </xdr:to>
    <xdr:cxnSp macro="">
      <xdr:nvCxnSpPr>
        <xdr:cNvPr id="278" name="Line 56"/>
        <xdr:cNvCxnSpPr>
          <a:stCxn id="173" idx="4"/>
          <a:endCxn id="17" idx="0"/>
        </xdr:cNvCxnSpPr>
      </xdr:nvCxnSpPr>
      <xdr:spPr>
        <a:xfrm>
          <a:off x="5892257" y="2222689"/>
          <a:ext cx="226139" cy="1146498"/>
        </a:xfrm>
        <a:prstGeom prst="straightConnector1">
          <a:avLst/>
        </a:prstGeom>
        <a:ln w="6350">
          <a:solidFill>
            <a:srgbClr val="FFFFFF">
              <a:alpha val="9000"/>
            </a:srgbClr>
          </a:solidFill>
        </a:ln>
      </xdr:spPr>
    </xdr:cxnSp>
    <xdr:clientData/>
  </xdr:twoCellAnchor>
  <xdr:twoCellAnchor>
    <xdr:from>
      <xdr:col>56</xdr:col>
      <xdr:colOff>9697</xdr:colOff>
      <xdr:row>16</xdr:row>
      <xdr:rowOff>29070</xdr:rowOff>
    </xdr:from>
    <xdr:to>
      <xdr:col>63</xdr:col>
      <xdr:colOff>90898</xdr:colOff>
      <xdr:row>18</xdr:row>
      <xdr:rowOff>130687</xdr:rowOff>
    </xdr:to>
    <xdr:cxnSp macro="">
      <xdr:nvCxnSpPr>
        <xdr:cNvPr id="279" name="Line 57"/>
        <xdr:cNvCxnSpPr>
          <a:stCxn id="176" idx="2"/>
          <a:endCxn id="17" idx="6"/>
        </xdr:cNvCxnSpPr>
      </xdr:nvCxnSpPr>
      <xdr:spPr>
        <a:xfrm flipH="1">
          <a:off x="6118397" y="2886570"/>
          <a:ext cx="1236902" cy="482616"/>
        </a:xfrm>
        <a:prstGeom prst="straightConnector1">
          <a:avLst/>
        </a:prstGeom>
        <a:ln w="6350">
          <a:solidFill>
            <a:srgbClr val="FFFFFF">
              <a:alpha val="9000"/>
            </a:srgbClr>
          </a:solidFill>
        </a:ln>
      </xdr:spPr>
    </xdr:cxnSp>
    <xdr:clientData/>
  </xdr:twoCellAnchor>
  <xdr:twoCellAnchor>
    <xdr:from>
      <xdr:col>48</xdr:col>
      <xdr:colOff>99736</xdr:colOff>
      <xdr:row>18</xdr:row>
      <xdr:rowOff>130687</xdr:rowOff>
    </xdr:from>
    <xdr:to>
      <xdr:col>56</xdr:col>
      <xdr:colOff>9697</xdr:colOff>
      <xdr:row>19</xdr:row>
      <xdr:rowOff>55703</xdr:rowOff>
    </xdr:to>
    <xdr:cxnSp macro="">
      <xdr:nvCxnSpPr>
        <xdr:cNvPr id="280" name="Line 58"/>
        <xdr:cNvCxnSpPr>
          <a:stCxn id="179" idx="6"/>
          <a:endCxn id="17" idx="2"/>
        </xdr:cNvCxnSpPr>
      </xdr:nvCxnSpPr>
      <xdr:spPr>
        <a:xfrm flipV="1">
          <a:off x="4887636" y="3369187"/>
          <a:ext cx="1230761" cy="115516"/>
        </a:xfrm>
        <a:prstGeom prst="straightConnector1">
          <a:avLst/>
        </a:prstGeom>
        <a:ln w="6350">
          <a:solidFill>
            <a:srgbClr val="FFFFFF">
              <a:alpha val="9000"/>
            </a:srgbClr>
          </a:solidFill>
        </a:ln>
      </xdr:spPr>
    </xdr:cxnSp>
    <xdr:clientData/>
  </xdr:twoCellAnchor>
  <xdr:twoCellAnchor>
    <xdr:from>
      <xdr:col>56</xdr:col>
      <xdr:colOff>9697</xdr:colOff>
      <xdr:row>12</xdr:row>
      <xdr:rowOff>116633</xdr:rowOff>
    </xdr:from>
    <xdr:to>
      <xdr:col>62</xdr:col>
      <xdr:colOff>12452</xdr:colOff>
      <xdr:row>18</xdr:row>
      <xdr:rowOff>130687</xdr:rowOff>
    </xdr:to>
    <xdr:cxnSp macro="">
      <xdr:nvCxnSpPr>
        <xdr:cNvPr id="281" name="Line 59"/>
        <xdr:cNvCxnSpPr>
          <a:stCxn id="182" idx="3"/>
          <a:endCxn id="17" idx="7"/>
        </xdr:cNvCxnSpPr>
      </xdr:nvCxnSpPr>
      <xdr:spPr>
        <a:xfrm flipH="1">
          <a:off x="6118397" y="2212133"/>
          <a:ext cx="993356" cy="1157054"/>
        </a:xfrm>
        <a:prstGeom prst="straightConnector1">
          <a:avLst/>
        </a:prstGeom>
        <a:ln w="6350">
          <a:solidFill>
            <a:srgbClr val="FFFFFF">
              <a:alpha val="9000"/>
            </a:srgbClr>
          </a:solidFill>
        </a:ln>
      </xdr:spPr>
    </xdr:cxnSp>
    <xdr:clientData/>
  </xdr:twoCellAnchor>
  <xdr:twoCellAnchor>
    <xdr:from>
      <xdr:col>47</xdr:col>
      <xdr:colOff>24181</xdr:colOff>
      <xdr:row>18</xdr:row>
      <xdr:rowOff>130687</xdr:rowOff>
    </xdr:from>
    <xdr:to>
      <xdr:col>56</xdr:col>
      <xdr:colOff>9697</xdr:colOff>
      <xdr:row>24</xdr:row>
      <xdr:rowOff>74924</xdr:rowOff>
    </xdr:to>
    <xdr:cxnSp macro="">
      <xdr:nvCxnSpPr>
        <xdr:cNvPr id="282" name="Line 60"/>
        <xdr:cNvCxnSpPr>
          <a:stCxn id="185" idx="7"/>
          <a:endCxn id="17" idx="3"/>
        </xdr:cNvCxnSpPr>
      </xdr:nvCxnSpPr>
      <xdr:spPr>
        <a:xfrm flipV="1">
          <a:off x="4646981" y="3369187"/>
          <a:ext cx="1471416" cy="1087237"/>
        </a:xfrm>
        <a:prstGeom prst="straightConnector1">
          <a:avLst/>
        </a:prstGeom>
        <a:ln w="6350">
          <a:solidFill>
            <a:srgbClr val="FFFFFF">
              <a:alpha val="9000"/>
            </a:srgbClr>
          </a:solidFill>
        </a:ln>
      </xdr:spPr>
    </xdr:cxnSp>
    <xdr:clientData/>
  </xdr:twoCellAnchor>
  <xdr:twoCellAnchor>
    <xdr:from>
      <xdr:col>51</xdr:col>
      <xdr:colOff>84684</xdr:colOff>
      <xdr:row>16</xdr:row>
      <xdr:rowOff>90171</xdr:rowOff>
    </xdr:from>
    <xdr:to>
      <xdr:col>56</xdr:col>
      <xdr:colOff>9697</xdr:colOff>
      <xdr:row>18</xdr:row>
      <xdr:rowOff>130687</xdr:rowOff>
    </xdr:to>
    <xdr:cxnSp macro="">
      <xdr:nvCxnSpPr>
        <xdr:cNvPr id="283" name="Line 61"/>
        <xdr:cNvCxnSpPr>
          <a:stCxn id="188" idx="5"/>
          <a:endCxn id="17" idx="1"/>
        </xdr:cNvCxnSpPr>
      </xdr:nvCxnSpPr>
      <xdr:spPr>
        <a:xfrm>
          <a:off x="5367884" y="2947671"/>
          <a:ext cx="750513" cy="421516"/>
        </a:xfrm>
        <a:prstGeom prst="straightConnector1">
          <a:avLst/>
        </a:prstGeom>
        <a:ln w="6350">
          <a:solidFill>
            <a:srgbClr val="FFFFFF">
              <a:alpha val="9000"/>
            </a:srgbClr>
          </a:solidFill>
        </a:ln>
      </xdr:spPr>
    </xdr:cxnSp>
    <xdr:clientData/>
  </xdr:twoCellAnchor>
  <xdr:twoCellAnchor>
    <xdr:from>
      <xdr:col>56</xdr:col>
      <xdr:colOff>9697</xdr:colOff>
      <xdr:row>18</xdr:row>
      <xdr:rowOff>130687</xdr:rowOff>
    </xdr:from>
    <xdr:to>
      <xdr:col>56</xdr:col>
      <xdr:colOff>107903</xdr:colOff>
      <xdr:row>21</xdr:row>
      <xdr:rowOff>35437</xdr:rowOff>
    </xdr:to>
    <xdr:cxnSp macro="">
      <xdr:nvCxnSpPr>
        <xdr:cNvPr id="284" name="Line 62"/>
        <xdr:cNvCxnSpPr>
          <a:stCxn id="191" idx="0"/>
          <a:endCxn id="17" idx="4"/>
        </xdr:cNvCxnSpPr>
      </xdr:nvCxnSpPr>
      <xdr:spPr>
        <a:xfrm flipH="1" flipV="1">
          <a:off x="6118397" y="3369187"/>
          <a:ext cx="98206" cy="476250"/>
        </a:xfrm>
        <a:prstGeom prst="straightConnector1">
          <a:avLst/>
        </a:prstGeom>
        <a:ln w="6350">
          <a:solidFill>
            <a:srgbClr val="FFFFFF">
              <a:alpha val="9000"/>
            </a:srgbClr>
          </a:solidFill>
        </a:ln>
      </xdr:spPr>
    </xdr:cxnSp>
    <xdr:clientData/>
  </xdr:twoCellAnchor>
  <xdr:twoCellAnchor>
    <xdr:from>
      <xdr:col>32</xdr:col>
      <xdr:colOff>114533</xdr:colOff>
      <xdr:row>21</xdr:row>
      <xdr:rowOff>105480</xdr:rowOff>
    </xdr:from>
    <xdr:to>
      <xdr:col>42</xdr:col>
      <xdr:colOff>109315</xdr:colOff>
      <xdr:row>24</xdr:row>
      <xdr:rowOff>162330</xdr:rowOff>
    </xdr:to>
    <xdr:cxnSp macro="">
      <xdr:nvCxnSpPr>
        <xdr:cNvPr id="285" name="Line 63"/>
        <xdr:cNvCxnSpPr>
          <a:stCxn id="194" idx="6"/>
          <a:endCxn id="20" idx="2"/>
        </xdr:cNvCxnSpPr>
      </xdr:nvCxnSpPr>
      <xdr:spPr>
        <a:xfrm>
          <a:off x="2260833" y="3915480"/>
          <a:ext cx="1645782" cy="628351"/>
        </a:xfrm>
        <a:prstGeom prst="straightConnector1">
          <a:avLst/>
        </a:prstGeom>
        <a:ln w="6350">
          <a:solidFill>
            <a:srgbClr val="FFFFFF">
              <a:alpha val="9000"/>
            </a:srgbClr>
          </a:solidFill>
        </a:ln>
      </xdr:spPr>
    </xdr:cxnSp>
    <xdr:clientData/>
  </xdr:twoCellAnchor>
  <xdr:twoCellAnchor>
    <xdr:from>
      <xdr:col>38</xdr:col>
      <xdr:colOff>1072</xdr:colOff>
      <xdr:row>21</xdr:row>
      <xdr:rowOff>132482</xdr:rowOff>
    </xdr:from>
    <xdr:to>
      <xdr:col>42</xdr:col>
      <xdr:colOff>109315</xdr:colOff>
      <xdr:row>24</xdr:row>
      <xdr:rowOff>162330</xdr:rowOff>
    </xdr:to>
    <xdr:cxnSp macro="">
      <xdr:nvCxnSpPr>
        <xdr:cNvPr id="286" name="Line 64"/>
        <xdr:cNvCxnSpPr>
          <a:stCxn id="197" idx="5"/>
          <a:endCxn id="20" idx="1"/>
        </xdr:cNvCxnSpPr>
      </xdr:nvCxnSpPr>
      <xdr:spPr>
        <a:xfrm>
          <a:off x="3137972" y="3942482"/>
          <a:ext cx="768643" cy="601348"/>
        </a:xfrm>
        <a:prstGeom prst="straightConnector1">
          <a:avLst/>
        </a:prstGeom>
        <a:ln w="6350">
          <a:solidFill>
            <a:srgbClr val="FFFFFF">
              <a:alpha val="9000"/>
            </a:srgbClr>
          </a:solidFill>
        </a:ln>
      </xdr:spPr>
    </xdr:cxnSp>
    <xdr:clientData/>
  </xdr:twoCellAnchor>
  <xdr:twoCellAnchor>
    <xdr:from>
      <xdr:col>41</xdr:col>
      <xdr:colOff>11487</xdr:colOff>
      <xdr:row>18</xdr:row>
      <xdr:rowOff>142007</xdr:rowOff>
    </xdr:from>
    <xdr:to>
      <xdr:col>42</xdr:col>
      <xdr:colOff>109315</xdr:colOff>
      <xdr:row>24</xdr:row>
      <xdr:rowOff>162330</xdr:rowOff>
    </xdr:to>
    <xdr:cxnSp macro="">
      <xdr:nvCxnSpPr>
        <xdr:cNvPr id="287" name="Line 65"/>
        <xdr:cNvCxnSpPr>
          <a:stCxn id="200" idx="4"/>
          <a:endCxn id="20" idx="0"/>
        </xdr:cNvCxnSpPr>
      </xdr:nvCxnSpPr>
      <xdr:spPr>
        <a:xfrm>
          <a:off x="3643687" y="3380507"/>
          <a:ext cx="262928" cy="1163323"/>
        </a:xfrm>
        <a:prstGeom prst="straightConnector1">
          <a:avLst/>
        </a:prstGeom>
        <a:ln w="6350">
          <a:solidFill>
            <a:srgbClr val="FFFFFF">
              <a:alpha val="9000"/>
            </a:srgbClr>
          </a:solidFill>
        </a:ln>
      </xdr:spPr>
    </xdr:cxnSp>
    <xdr:clientData/>
  </xdr:twoCellAnchor>
  <xdr:twoCellAnchor>
    <xdr:from>
      <xdr:col>37</xdr:col>
      <xdr:colOff>50506</xdr:colOff>
      <xdr:row>24</xdr:row>
      <xdr:rowOff>162330</xdr:rowOff>
    </xdr:from>
    <xdr:to>
      <xdr:col>42</xdr:col>
      <xdr:colOff>109315</xdr:colOff>
      <xdr:row>33</xdr:row>
      <xdr:rowOff>22852</xdr:rowOff>
    </xdr:to>
    <xdr:cxnSp macro="">
      <xdr:nvCxnSpPr>
        <xdr:cNvPr id="288" name="Line 66"/>
        <xdr:cNvCxnSpPr>
          <a:stCxn id="203" idx="7"/>
          <a:endCxn id="20" idx="3"/>
        </xdr:cNvCxnSpPr>
      </xdr:nvCxnSpPr>
      <xdr:spPr>
        <a:xfrm flipV="1">
          <a:off x="3022306" y="4543830"/>
          <a:ext cx="884309" cy="1575021"/>
        </a:xfrm>
        <a:prstGeom prst="straightConnector1">
          <a:avLst/>
        </a:prstGeom>
        <a:ln w="6350">
          <a:solidFill>
            <a:srgbClr val="FFFFFF">
              <a:alpha val="9000"/>
            </a:srgbClr>
          </a:solidFill>
        </a:ln>
      </xdr:spPr>
    </xdr:cxnSp>
    <xdr:clientData/>
  </xdr:twoCellAnchor>
  <xdr:twoCellAnchor>
    <xdr:from>
      <xdr:col>41</xdr:col>
      <xdr:colOff>9644</xdr:colOff>
      <xdr:row>24</xdr:row>
      <xdr:rowOff>162330</xdr:rowOff>
    </xdr:from>
    <xdr:to>
      <xdr:col>42</xdr:col>
      <xdr:colOff>109315</xdr:colOff>
      <xdr:row>32</xdr:row>
      <xdr:rowOff>144214</xdr:rowOff>
    </xdr:to>
    <xdr:cxnSp macro="">
      <xdr:nvCxnSpPr>
        <xdr:cNvPr id="289" name="Line 67"/>
        <xdr:cNvCxnSpPr>
          <a:stCxn id="206" idx="0"/>
          <a:endCxn id="20" idx="4"/>
        </xdr:cNvCxnSpPr>
      </xdr:nvCxnSpPr>
      <xdr:spPr>
        <a:xfrm flipV="1">
          <a:off x="3641844" y="4543830"/>
          <a:ext cx="264771" cy="1505884"/>
        </a:xfrm>
        <a:prstGeom prst="straightConnector1">
          <a:avLst/>
        </a:prstGeom>
        <a:ln w="6350">
          <a:solidFill>
            <a:srgbClr val="FFFFFF">
              <a:alpha val="9000"/>
            </a:srgbClr>
          </a:solidFill>
        </a:ln>
      </xdr:spPr>
    </xdr:cxnSp>
    <xdr:clientData/>
  </xdr:twoCellAnchor>
  <xdr:twoCellAnchor>
    <xdr:from>
      <xdr:col>53</xdr:col>
      <xdr:colOff>31055</xdr:colOff>
      <xdr:row>42</xdr:row>
      <xdr:rowOff>146416</xdr:rowOff>
    </xdr:from>
    <xdr:to>
      <xdr:col>61</xdr:col>
      <xdr:colOff>33918</xdr:colOff>
      <xdr:row>45</xdr:row>
      <xdr:rowOff>176212</xdr:rowOff>
    </xdr:to>
    <xdr:cxnSp macro="">
      <xdr:nvCxnSpPr>
        <xdr:cNvPr id="290" name="Line 68"/>
        <xdr:cNvCxnSpPr>
          <a:stCxn id="208" idx="0"/>
          <a:endCxn id="92" idx="3"/>
        </xdr:cNvCxnSpPr>
      </xdr:nvCxnSpPr>
      <xdr:spPr>
        <a:xfrm flipV="1">
          <a:off x="5644455" y="7956916"/>
          <a:ext cx="1323663" cy="601297"/>
        </a:xfrm>
        <a:prstGeom prst="straightConnector1">
          <a:avLst/>
        </a:prstGeom>
        <a:ln w="15875">
          <a:solidFill>
            <a:srgbClr val="4F7CFF">
              <a:alpha val="85000"/>
            </a:srgbClr>
          </a:solidFill>
        </a:ln>
      </xdr:spPr>
    </xdr:cxnSp>
    <xdr:clientData/>
  </xdr:twoCellAnchor>
  <xdr:twoCellAnchor>
    <xdr:from>
      <xdr:col>53</xdr:col>
      <xdr:colOff>31055</xdr:colOff>
      <xdr:row>38</xdr:row>
      <xdr:rowOff>67671</xdr:rowOff>
    </xdr:from>
    <xdr:to>
      <xdr:col>60</xdr:col>
      <xdr:colOff>13833</xdr:colOff>
      <xdr:row>45</xdr:row>
      <xdr:rowOff>176212</xdr:rowOff>
    </xdr:to>
    <xdr:cxnSp macro="">
      <xdr:nvCxnSpPr>
        <xdr:cNvPr id="291" name="Line 69"/>
        <xdr:cNvCxnSpPr>
          <a:stCxn id="208" idx="0"/>
          <a:endCxn id="95" idx="3"/>
        </xdr:cNvCxnSpPr>
      </xdr:nvCxnSpPr>
      <xdr:spPr>
        <a:xfrm flipV="1">
          <a:off x="5644455" y="7116171"/>
          <a:ext cx="1138478" cy="1442041"/>
        </a:xfrm>
        <a:prstGeom prst="straightConnector1">
          <a:avLst/>
        </a:prstGeom>
        <a:ln w="15875">
          <a:solidFill>
            <a:srgbClr val="4F7CFF">
              <a:alpha val="85000"/>
            </a:srgbClr>
          </a:solidFill>
        </a:ln>
      </xdr:spPr>
    </xdr:cxnSp>
    <xdr:clientData/>
  </xdr:twoCellAnchor>
  <xdr:twoCellAnchor>
    <xdr:from>
      <xdr:col>46</xdr:col>
      <xdr:colOff>115757</xdr:colOff>
      <xdr:row>40</xdr:row>
      <xdr:rowOff>128751</xdr:rowOff>
    </xdr:from>
    <xdr:to>
      <xdr:col>53</xdr:col>
      <xdr:colOff>31055</xdr:colOff>
      <xdr:row>45</xdr:row>
      <xdr:rowOff>176212</xdr:rowOff>
    </xdr:to>
    <xdr:cxnSp macro="">
      <xdr:nvCxnSpPr>
        <xdr:cNvPr id="292" name="Line 70"/>
        <xdr:cNvCxnSpPr>
          <a:stCxn id="208" idx="0"/>
          <a:endCxn id="98" idx="5"/>
        </xdr:cNvCxnSpPr>
      </xdr:nvCxnSpPr>
      <xdr:spPr>
        <a:xfrm flipH="1" flipV="1">
          <a:off x="4573457" y="7558251"/>
          <a:ext cx="1070998" cy="999961"/>
        </a:xfrm>
        <a:prstGeom prst="straightConnector1">
          <a:avLst/>
        </a:prstGeom>
        <a:ln w="15875">
          <a:solidFill>
            <a:srgbClr val="4F7CFF">
              <a:alpha val="85000"/>
            </a:srgbClr>
          </a:solidFill>
        </a:ln>
      </xdr:spPr>
    </xdr:cxnSp>
    <xdr:clientData/>
  </xdr:twoCellAnchor>
  <xdr:twoCellAnchor>
    <xdr:from>
      <xdr:col>50</xdr:col>
      <xdr:colOff>22907</xdr:colOff>
      <xdr:row>37</xdr:row>
      <xdr:rowOff>134793</xdr:rowOff>
    </xdr:from>
    <xdr:to>
      <xdr:col>53</xdr:col>
      <xdr:colOff>31055</xdr:colOff>
      <xdr:row>45</xdr:row>
      <xdr:rowOff>176212</xdr:rowOff>
    </xdr:to>
    <xdr:cxnSp macro="">
      <xdr:nvCxnSpPr>
        <xdr:cNvPr id="293" name="Line 71"/>
        <xdr:cNvCxnSpPr>
          <a:stCxn id="208" idx="0"/>
          <a:endCxn id="101" idx="4"/>
        </xdr:cNvCxnSpPr>
      </xdr:nvCxnSpPr>
      <xdr:spPr>
        <a:xfrm flipH="1" flipV="1">
          <a:off x="5141007" y="6992793"/>
          <a:ext cx="503447" cy="1565420"/>
        </a:xfrm>
        <a:prstGeom prst="straightConnector1">
          <a:avLst/>
        </a:prstGeom>
        <a:ln w="15875">
          <a:solidFill>
            <a:srgbClr val="4F7CFF">
              <a:alpha val="85000"/>
            </a:srgbClr>
          </a:solidFill>
        </a:ln>
      </xdr:spPr>
    </xdr:cxnSp>
    <xdr:clientData/>
  </xdr:twoCellAnchor>
  <xdr:twoCellAnchor>
    <xdr:from>
      <xdr:col>53</xdr:col>
      <xdr:colOff>31055</xdr:colOff>
      <xdr:row>35</xdr:row>
      <xdr:rowOff>163087</xdr:rowOff>
    </xdr:from>
    <xdr:to>
      <xdr:col>57</xdr:col>
      <xdr:colOff>44018</xdr:colOff>
      <xdr:row>45</xdr:row>
      <xdr:rowOff>176212</xdr:rowOff>
    </xdr:to>
    <xdr:cxnSp macro="">
      <xdr:nvCxnSpPr>
        <xdr:cNvPr id="294" name="Line 72"/>
        <xdr:cNvCxnSpPr>
          <a:stCxn id="208" idx="0"/>
          <a:endCxn id="104" idx="4"/>
        </xdr:cNvCxnSpPr>
      </xdr:nvCxnSpPr>
      <xdr:spPr>
        <a:xfrm flipV="1">
          <a:off x="5644455" y="6640087"/>
          <a:ext cx="673364" cy="1918126"/>
        </a:xfrm>
        <a:prstGeom prst="straightConnector1">
          <a:avLst/>
        </a:prstGeom>
        <a:ln w="15875">
          <a:solidFill>
            <a:srgbClr val="4F7CFF">
              <a:alpha val="85000"/>
            </a:srgbClr>
          </a:solidFill>
        </a:ln>
      </xdr:spPr>
    </xdr:cxnSp>
    <xdr:clientData/>
  </xdr:twoCellAnchor>
  <xdr:twoCellAnchor>
    <xdr:from>
      <xdr:col>52</xdr:col>
      <xdr:colOff>126393</xdr:colOff>
      <xdr:row>40</xdr:row>
      <xdr:rowOff>39543</xdr:rowOff>
    </xdr:from>
    <xdr:to>
      <xdr:col>53</xdr:col>
      <xdr:colOff>31055</xdr:colOff>
      <xdr:row>45</xdr:row>
      <xdr:rowOff>176212</xdr:rowOff>
    </xdr:to>
    <xdr:cxnSp macro="">
      <xdr:nvCxnSpPr>
        <xdr:cNvPr id="295" name="Line 73"/>
        <xdr:cNvCxnSpPr>
          <a:stCxn id="208" idx="0"/>
          <a:endCxn id="116" idx="4"/>
        </xdr:cNvCxnSpPr>
      </xdr:nvCxnSpPr>
      <xdr:spPr>
        <a:xfrm flipH="1" flipV="1">
          <a:off x="5574693" y="7469043"/>
          <a:ext cx="69762" cy="1089170"/>
        </a:xfrm>
        <a:prstGeom prst="straightConnector1">
          <a:avLst/>
        </a:prstGeom>
        <a:ln w="15875">
          <a:solidFill>
            <a:srgbClr val="4F7CFF">
              <a:alpha val="85000"/>
            </a:srgbClr>
          </a:solidFill>
        </a:ln>
      </xdr:spPr>
    </xdr:cxnSp>
    <xdr:clientData/>
  </xdr:twoCellAnchor>
  <xdr:twoCellAnchor>
    <xdr:from>
      <xdr:col>44</xdr:col>
      <xdr:colOff>25657</xdr:colOff>
      <xdr:row>38</xdr:row>
      <xdr:rowOff>37868</xdr:rowOff>
    </xdr:from>
    <xdr:to>
      <xdr:col>53</xdr:col>
      <xdr:colOff>31055</xdr:colOff>
      <xdr:row>45</xdr:row>
      <xdr:rowOff>176212</xdr:rowOff>
    </xdr:to>
    <xdr:cxnSp macro="">
      <xdr:nvCxnSpPr>
        <xdr:cNvPr id="296" name="Line 74"/>
        <xdr:cNvCxnSpPr>
          <a:stCxn id="208" idx="0"/>
          <a:endCxn id="125" idx="5"/>
        </xdr:cNvCxnSpPr>
      </xdr:nvCxnSpPr>
      <xdr:spPr>
        <a:xfrm flipH="1" flipV="1">
          <a:off x="4153157" y="7086368"/>
          <a:ext cx="1491298" cy="1471844"/>
        </a:xfrm>
        <a:prstGeom prst="straightConnector1">
          <a:avLst/>
        </a:prstGeom>
        <a:ln w="15875">
          <a:solidFill>
            <a:srgbClr val="4F7CFF">
              <a:alpha val="85000"/>
            </a:srgbClr>
          </a:solidFill>
        </a:ln>
      </xdr:spPr>
    </xdr:cxnSp>
    <xdr:clientData/>
  </xdr:twoCellAnchor>
  <xdr:twoCellAnchor>
    <xdr:from>
      <xdr:col>62</xdr:col>
      <xdr:colOff>12452</xdr:colOff>
      <xdr:row>10</xdr:row>
      <xdr:rowOff>73771</xdr:rowOff>
    </xdr:from>
    <xdr:to>
      <xdr:col>62</xdr:col>
      <xdr:colOff>12452</xdr:colOff>
      <xdr:row>12</xdr:row>
      <xdr:rowOff>116633</xdr:rowOff>
    </xdr:to>
    <xdr:cxnSp macro="">
      <xdr:nvCxnSpPr>
        <xdr:cNvPr id="297" name="Line 75"/>
        <xdr:cNvCxnSpPr>
          <a:stCxn id="209" idx="2"/>
          <a:endCxn id="182" idx="0"/>
        </xdr:cNvCxnSpPr>
      </xdr:nvCxnSpPr>
      <xdr:spPr>
        <a:xfrm>
          <a:off x="7111752" y="1788271"/>
          <a:ext cx="0" cy="423862"/>
        </a:xfrm>
        <a:prstGeom prst="straightConnector1">
          <a:avLst/>
        </a:prstGeom>
        <a:ln w="15875">
          <a:solidFill>
            <a:srgbClr val="4F7CFF">
              <a:alpha val="85000"/>
            </a:srgbClr>
          </a:solidFill>
        </a:ln>
      </xdr:spPr>
    </xdr:cxnSp>
    <xdr:clientData/>
  </xdr:twoCellAnchor>
  <xdr:twoCellAnchor>
    <xdr:from>
      <xdr:col>34</xdr:col>
      <xdr:colOff>97981</xdr:colOff>
      <xdr:row>36</xdr:row>
      <xdr:rowOff>17047</xdr:rowOff>
    </xdr:from>
    <xdr:to>
      <xdr:col>44</xdr:col>
      <xdr:colOff>28131</xdr:colOff>
      <xdr:row>36</xdr:row>
      <xdr:rowOff>17047</xdr:rowOff>
    </xdr:to>
    <xdr:cxnSp macro="">
      <xdr:nvCxnSpPr>
        <xdr:cNvPr id="298" name="Line 76"/>
        <xdr:cNvCxnSpPr>
          <a:stCxn id="210" idx="3"/>
          <a:endCxn id="152" idx="2"/>
        </xdr:cNvCxnSpPr>
      </xdr:nvCxnSpPr>
      <xdr:spPr>
        <a:xfrm>
          <a:off x="2574481" y="6684547"/>
          <a:ext cx="1581150" cy="0"/>
        </a:xfrm>
        <a:prstGeom prst="straightConnector1">
          <a:avLst/>
        </a:prstGeom>
        <a:ln w="15875">
          <a:solidFill>
            <a:srgbClr val="4F7CFF">
              <a:alpha val="85000"/>
            </a:srgbClr>
          </a:solidFill>
        </a:ln>
      </xdr:spPr>
    </xdr:cxnSp>
    <xdr:clientData/>
  </xdr:twoCellAnchor>
  <xdr:twoCellAnchor>
    <xdr:from>
      <xdr:col>28</xdr:col>
      <xdr:colOff>47625</xdr:colOff>
      <xdr:row>30</xdr:row>
      <xdr:rowOff>146677</xdr:rowOff>
    </xdr:from>
    <xdr:to>
      <xdr:col>37</xdr:col>
      <xdr:colOff>50506</xdr:colOff>
      <xdr:row>33</xdr:row>
      <xdr:rowOff>22852</xdr:rowOff>
    </xdr:to>
    <xdr:cxnSp macro="">
      <xdr:nvCxnSpPr>
        <xdr:cNvPr id="299" name="Line 77"/>
        <xdr:cNvCxnSpPr>
          <a:stCxn id="211" idx="2"/>
          <a:endCxn id="203" idx="2"/>
        </xdr:cNvCxnSpPr>
      </xdr:nvCxnSpPr>
      <xdr:spPr>
        <a:xfrm>
          <a:off x="1533525" y="5671177"/>
          <a:ext cx="1488781" cy="447675"/>
        </a:xfrm>
        <a:prstGeom prst="straightConnector1">
          <a:avLst/>
        </a:prstGeom>
        <a:ln w="15875">
          <a:solidFill>
            <a:srgbClr val="4F7CFF">
              <a:alpha val="85000"/>
            </a:srgbClr>
          </a:solidFill>
        </a:ln>
      </xdr:spPr>
    </xdr:cxnSp>
    <xdr:clientData/>
  </xdr:twoCellAnchor>
  <xdr:twoCellAnchor>
    <xdr:from>
      <xdr:col>35</xdr:col>
      <xdr:colOff>112677</xdr:colOff>
      <xdr:row>27</xdr:row>
      <xdr:rowOff>39828</xdr:rowOff>
    </xdr:from>
    <xdr:to>
      <xdr:col>45</xdr:col>
      <xdr:colOff>70283</xdr:colOff>
      <xdr:row>27</xdr:row>
      <xdr:rowOff>68718</xdr:rowOff>
    </xdr:to>
    <xdr:cxnSp macro="">
      <xdr:nvCxnSpPr>
        <xdr:cNvPr id="300" name="Line 78"/>
        <xdr:cNvCxnSpPr>
          <a:stCxn id="212" idx="3"/>
          <a:endCxn id="113" idx="2"/>
        </xdr:cNvCxnSpPr>
      </xdr:nvCxnSpPr>
      <xdr:spPr>
        <a:xfrm flipV="1">
          <a:off x="2754277" y="4992828"/>
          <a:ext cx="1608606" cy="28890"/>
        </a:xfrm>
        <a:prstGeom prst="straightConnector1">
          <a:avLst/>
        </a:prstGeom>
        <a:ln w="15875">
          <a:solidFill>
            <a:srgbClr val="4F7CFF">
              <a:alpha val="85000"/>
            </a:srgbClr>
          </a:solidFill>
        </a:ln>
      </xdr:spPr>
    </xdr:cxnSp>
    <xdr:clientData/>
  </xdr:twoCellAnchor>
  <xdr:twoCellAnchor>
    <xdr:from>
      <xdr:col>35</xdr:col>
      <xdr:colOff>112677</xdr:colOff>
      <xdr:row>27</xdr:row>
      <xdr:rowOff>68718</xdr:rowOff>
    </xdr:from>
    <xdr:to>
      <xdr:col>41</xdr:col>
      <xdr:colOff>57894</xdr:colOff>
      <xdr:row>29</xdr:row>
      <xdr:rowOff>177552</xdr:rowOff>
    </xdr:to>
    <xdr:cxnSp macro="">
      <xdr:nvCxnSpPr>
        <xdr:cNvPr id="301" name="Line 79"/>
        <xdr:cNvCxnSpPr>
          <a:stCxn id="212" idx="2"/>
          <a:endCxn id="119" idx="1"/>
        </xdr:cNvCxnSpPr>
      </xdr:nvCxnSpPr>
      <xdr:spPr>
        <a:xfrm>
          <a:off x="2754277" y="5021718"/>
          <a:ext cx="935817" cy="489834"/>
        </a:xfrm>
        <a:prstGeom prst="straightConnector1">
          <a:avLst/>
        </a:prstGeom>
        <a:ln w="15875">
          <a:solidFill>
            <a:srgbClr val="4F7CFF">
              <a:alpha val="85000"/>
            </a:srgbClr>
          </a:solidFill>
        </a:ln>
      </xdr:spPr>
    </xdr:cxnSp>
    <xdr:clientData/>
  </xdr:twoCellAnchor>
  <xdr:twoCellAnchor>
    <xdr:from>
      <xdr:col>35</xdr:col>
      <xdr:colOff>112677</xdr:colOff>
      <xdr:row>27</xdr:row>
      <xdr:rowOff>68718</xdr:rowOff>
    </xdr:from>
    <xdr:to>
      <xdr:col>44</xdr:col>
      <xdr:colOff>147933</xdr:colOff>
      <xdr:row>33</xdr:row>
      <xdr:rowOff>148791</xdr:rowOff>
    </xdr:to>
    <xdr:cxnSp macro="">
      <xdr:nvCxnSpPr>
        <xdr:cNvPr id="302" name="Line 80"/>
        <xdr:cNvCxnSpPr>
          <a:stCxn id="212" idx="2"/>
          <a:endCxn id="149" idx="1"/>
        </xdr:cNvCxnSpPr>
      </xdr:nvCxnSpPr>
      <xdr:spPr>
        <a:xfrm>
          <a:off x="2754277" y="5021718"/>
          <a:ext cx="1521156" cy="1223073"/>
        </a:xfrm>
        <a:prstGeom prst="straightConnector1">
          <a:avLst/>
        </a:prstGeom>
        <a:ln w="15875">
          <a:solidFill>
            <a:srgbClr val="4F7CFF">
              <a:alpha val="85000"/>
            </a:srgbClr>
          </a:solidFill>
        </a:ln>
      </xdr:spPr>
    </xdr:cxnSp>
    <xdr:clientData/>
  </xdr:twoCellAnchor>
  <xdr:twoCellAnchor>
    <xdr:from>
      <xdr:col>62</xdr:col>
      <xdr:colOff>12452</xdr:colOff>
      <xdr:row>7</xdr:row>
      <xdr:rowOff>154733</xdr:rowOff>
    </xdr:from>
    <xdr:to>
      <xdr:col>62</xdr:col>
      <xdr:colOff>12452</xdr:colOff>
      <xdr:row>12</xdr:row>
      <xdr:rowOff>116633</xdr:rowOff>
    </xdr:to>
    <xdr:cxnSp macro="">
      <xdr:nvCxnSpPr>
        <xdr:cNvPr id="303" name="Line 81"/>
        <xdr:cNvCxnSpPr>
          <a:stCxn id="213" idx="2"/>
          <a:endCxn id="182" idx="0"/>
        </xdr:cNvCxnSpPr>
      </xdr:nvCxnSpPr>
      <xdr:spPr>
        <a:xfrm>
          <a:off x="7111752" y="1297733"/>
          <a:ext cx="0" cy="914400"/>
        </a:xfrm>
        <a:prstGeom prst="straightConnector1">
          <a:avLst/>
        </a:prstGeom>
        <a:ln w="15875">
          <a:solidFill>
            <a:srgbClr val="4F7CFF">
              <a:alpha val="85000"/>
            </a:srgbClr>
          </a:solidFill>
        </a:ln>
      </xdr:spPr>
    </xdr:cxnSp>
    <xdr:clientData/>
  </xdr:twoCellAnchor>
  <xdr:twoCellAnchor>
    <xdr:from>
      <xdr:col>80</xdr:col>
      <xdr:colOff>13635</xdr:colOff>
      <xdr:row>16</xdr:row>
      <xdr:rowOff>149579</xdr:rowOff>
    </xdr:from>
    <xdr:to>
      <xdr:col>81</xdr:col>
      <xdr:colOff>147430</xdr:colOff>
      <xdr:row>20</xdr:row>
      <xdr:rowOff>109175</xdr:rowOff>
    </xdr:to>
    <xdr:cxnSp macro="">
      <xdr:nvCxnSpPr>
        <xdr:cNvPr id="304" name="Line 82"/>
        <xdr:cNvCxnSpPr>
          <a:stCxn id="214" idx="2"/>
          <a:endCxn id="32" idx="0"/>
        </xdr:cNvCxnSpPr>
      </xdr:nvCxnSpPr>
      <xdr:spPr>
        <a:xfrm>
          <a:off x="10084735" y="3007079"/>
          <a:ext cx="298895" cy="721596"/>
        </a:xfrm>
        <a:prstGeom prst="straightConnector1">
          <a:avLst/>
        </a:prstGeom>
        <a:ln w="15875">
          <a:solidFill>
            <a:srgbClr val="4F7CFF">
              <a:alpha val="85000"/>
            </a:srgbClr>
          </a:solidFill>
        </a:ln>
      </xdr:spPr>
    </xdr:cxnSp>
    <xdr:clientData/>
  </xdr:twoCellAnchor>
  <xdr:twoCellAnchor>
    <xdr:from>
      <xdr:col>82</xdr:col>
      <xdr:colOff>138481</xdr:colOff>
      <xdr:row>34</xdr:row>
      <xdr:rowOff>68383</xdr:rowOff>
    </xdr:from>
    <xdr:to>
      <xdr:col>92</xdr:col>
      <xdr:colOff>104457</xdr:colOff>
      <xdr:row>37</xdr:row>
      <xdr:rowOff>96958</xdr:rowOff>
    </xdr:to>
    <xdr:cxnSp macro="">
      <xdr:nvCxnSpPr>
        <xdr:cNvPr id="305" name="Line 83"/>
        <xdr:cNvCxnSpPr>
          <a:stCxn id="215" idx="0"/>
          <a:endCxn id="83" idx="6"/>
        </xdr:cNvCxnSpPr>
      </xdr:nvCxnSpPr>
      <xdr:spPr>
        <a:xfrm flipH="1" flipV="1">
          <a:off x="10539781" y="6354883"/>
          <a:ext cx="1616977" cy="600075"/>
        </a:xfrm>
        <a:prstGeom prst="straightConnector1">
          <a:avLst/>
        </a:prstGeom>
        <a:ln w="15875">
          <a:solidFill>
            <a:srgbClr val="4F7CFF">
              <a:alpha val="85000"/>
            </a:srgbClr>
          </a:solidFill>
        </a:ln>
      </xdr:spPr>
    </xdr:cxnSp>
    <xdr:clientData/>
  </xdr:twoCellAnchor>
  <xdr:twoCellAnchor>
    <xdr:from>
      <xdr:col>37</xdr:col>
      <xdr:colOff>59715</xdr:colOff>
      <xdr:row>35</xdr:row>
      <xdr:rowOff>5572</xdr:rowOff>
    </xdr:from>
    <xdr:to>
      <xdr:col>47</xdr:col>
      <xdr:colOff>115853</xdr:colOff>
      <xdr:row>44</xdr:row>
      <xdr:rowOff>7361</xdr:rowOff>
    </xdr:to>
    <xdr:cxnSp macro="">
      <xdr:nvCxnSpPr>
        <xdr:cNvPr id="306" name="Line 84"/>
        <xdr:cNvCxnSpPr>
          <a:stCxn id="216" idx="0"/>
          <a:endCxn id="122" idx="3"/>
        </xdr:cNvCxnSpPr>
      </xdr:nvCxnSpPr>
      <xdr:spPr>
        <a:xfrm flipV="1">
          <a:off x="3031515" y="6482572"/>
          <a:ext cx="1707138" cy="1716288"/>
        </a:xfrm>
        <a:prstGeom prst="straightConnector1">
          <a:avLst/>
        </a:prstGeom>
        <a:ln w="15875">
          <a:solidFill>
            <a:srgbClr val="4F7CFF">
              <a:alpha val="85000"/>
            </a:srgbClr>
          </a:solidFill>
        </a:ln>
      </xdr:spPr>
    </xdr:cxnSp>
    <xdr:clientData/>
  </xdr:twoCellAnchor>
  <xdr:twoCellAnchor>
    <xdr:from>
      <xdr:col>37</xdr:col>
      <xdr:colOff>59715</xdr:colOff>
      <xdr:row>38</xdr:row>
      <xdr:rowOff>37868</xdr:rowOff>
    </xdr:from>
    <xdr:to>
      <xdr:col>44</xdr:col>
      <xdr:colOff>25657</xdr:colOff>
      <xdr:row>44</xdr:row>
      <xdr:rowOff>7361</xdr:rowOff>
    </xdr:to>
    <xdr:cxnSp macro="">
      <xdr:nvCxnSpPr>
        <xdr:cNvPr id="307" name="Line 85"/>
        <xdr:cNvCxnSpPr>
          <a:stCxn id="216" idx="0"/>
          <a:endCxn id="125" idx="3"/>
        </xdr:cNvCxnSpPr>
      </xdr:nvCxnSpPr>
      <xdr:spPr>
        <a:xfrm flipV="1">
          <a:off x="3031515" y="7086368"/>
          <a:ext cx="1121642" cy="1112492"/>
        </a:xfrm>
        <a:prstGeom prst="straightConnector1">
          <a:avLst/>
        </a:prstGeom>
        <a:ln w="15875">
          <a:solidFill>
            <a:srgbClr val="4F7CFF">
              <a:alpha val="85000"/>
            </a:srgbClr>
          </a:solidFill>
        </a:ln>
      </xdr:spPr>
    </xdr:cxnSp>
    <xdr:clientData/>
  </xdr:twoCellAnchor>
  <xdr:twoCellAnchor>
    <xdr:from>
      <xdr:col>81</xdr:col>
      <xdr:colOff>147430</xdr:colOff>
      <xdr:row>19</xdr:row>
      <xdr:rowOff>4400</xdr:rowOff>
    </xdr:from>
    <xdr:to>
      <xdr:col>81</xdr:col>
      <xdr:colOff>147430</xdr:colOff>
      <xdr:row>20</xdr:row>
      <xdr:rowOff>109175</xdr:rowOff>
    </xdr:to>
    <xdr:cxnSp macro="">
      <xdr:nvCxnSpPr>
        <xdr:cNvPr id="308" name="Line 86"/>
        <xdr:cNvCxnSpPr>
          <a:stCxn id="220" idx="4"/>
          <a:endCxn id="32" idx="0"/>
        </xdr:cNvCxnSpPr>
      </xdr:nvCxnSpPr>
      <xdr:spPr>
        <a:xfrm>
          <a:off x="10383630" y="3433400"/>
          <a:ext cx="0" cy="295275"/>
        </a:xfrm>
        <a:prstGeom prst="straightConnector1">
          <a:avLst/>
        </a:prstGeom>
        <a:ln w="9525">
          <a:solidFill>
            <a:srgbClr val="E0B354">
              <a:alpha val="60000"/>
            </a:srgbClr>
          </a:solidFill>
        </a:ln>
      </xdr:spPr>
    </xdr:cxnSp>
    <xdr:clientData/>
  </xdr:twoCellAnchor>
  <xdr:twoCellAnchor>
    <xdr:from>
      <xdr:col>62</xdr:col>
      <xdr:colOff>12452</xdr:colOff>
      <xdr:row>12</xdr:row>
      <xdr:rowOff>116633</xdr:rowOff>
    </xdr:from>
    <xdr:to>
      <xdr:col>65</xdr:col>
      <xdr:colOff>31502</xdr:colOff>
      <xdr:row>12</xdr:row>
      <xdr:rowOff>116633</xdr:rowOff>
    </xdr:to>
    <xdr:cxnSp macro="">
      <xdr:nvCxnSpPr>
        <xdr:cNvPr id="309" name="Line 87"/>
        <xdr:cNvCxnSpPr>
          <a:stCxn id="219" idx="2"/>
          <a:endCxn id="182" idx="6"/>
        </xdr:cNvCxnSpPr>
      </xdr:nvCxnSpPr>
      <xdr:spPr>
        <a:xfrm flipH="1">
          <a:off x="7111752" y="2212133"/>
          <a:ext cx="514350" cy="0"/>
        </a:xfrm>
        <a:prstGeom prst="straightConnector1">
          <a:avLst/>
        </a:prstGeom>
        <a:ln w="9525">
          <a:solidFill>
            <a:srgbClr val="E0B354">
              <a:alpha val="60000"/>
            </a:srgbClr>
          </a:solidFill>
        </a:ln>
      </xdr:spPr>
    </xdr:cxnSp>
    <xdr:clientData/>
  </xdr:twoCellAnchor>
  <xdr:twoCellAnchor>
    <xdr:from>
      <xdr:col>53</xdr:col>
      <xdr:colOff>15610</xdr:colOff>
      <xdr:row>21</xdr:row>
      <xdr:rowOff>185982</xdr:rowOff>
    </xdr:from>
    <xdr:to>
      <xdr:col>68</xdr:col>
      <xdr:colOff>56595</xdr:colOff>
      <xdr:row>27</xdr:row>
      <xdr:rowOff>19763</xdr:rowOff>
    </xdr:to>
    <xdr:cxnSp macro="">
      <xdr:nvCxnSpPr>
        <xdr:cNvPr id="310" name="Line 88"/>
        <xdr:cNvCxnSpPr>
          <a:stCxn id="218" idx="6"/>
          <a:endCxn id="26" idx="2"/>
        </xdr:cNvCxnSpPr>
      </xdr:nvCxnSpPr>
      <xdr:spPr>
        <a:xfrm flipV="1">
          <a:off x="5629010" y="3995982"/>
          <a:ext cx="2517484" cy="976781"/>
        </a:xfrm>
        <a:prstGeom prst="straightConnector1">
          <a:avLst/>
        </a:prstGeom>
        <a:ln w="9525">
          <a:solidFill>
            <a:srgbClr val="E0B354">
              <a:alpha val="60000"/>
            </a:srgbClr>
          </a:solidFill>
        </a:ln>
      </xdr:spPr>
    </xdr:cxnSp>
    <xdr:clientData/>
  </xdr:twoCellAnchor>
  <xdr:twoCellAnchor>
    <xdr:from>
      <xdr:col>51</xdr:col>
      <xdr:colOff>152152</xdr:colOff>
      <xdr:row>24</xdr:row>
      <xdr:rowOff>139078</xdr:rowOff>
    </xdr:from>
    <xdr:to>
      <xdr:col>53</xdr:col>
      <xdr:colOff>15610</xdr:colOff>
      <xdr:row>27</xdr:row>
      <xdr:rowOff>19763</xdr:rowOff>
    </xdr:to>
    <xdr:cxnSp macro="">
      <xdr:nvCxnSpPr>
        <xdr:cNvPr id="311" name="Line 89"/>
        <xdr:cNvCxnSpPr>
          <a:stCxn id="218" idx="1"/>
          <a:endCxn id="170" idx="5"/>
        </xdr:cNvCxnSpPr>
      </xdr:nvCxnSpPr>
      <xdr:spPr>
        <a:xfrm flipH="1" flipV="1">
          <a:off x="5435352" y="4520578"/>
          <a:ext cx="193658" cy="452185"/>
        </a:xfrm>
        <a:prstGeom prst="straightConnector1">
          <a:avLst/>
        </a:prstGeom>
        <a:ln w="9525">
          <a:solidFill>
            <a:srgbClr val="E0B354">
              <a:alpha val="60000"/>
            </a:srgbClr>
          </a:solidFill>
        </a:ln>
      </xdr:spPr>
    </xdr:cxnSp>
    <xdr:clientData/>
  </xdr:twoCellAnchor>
  <xdr:twoCellAnchor>
    <xdr:from>
      <xdr:col>37</xdr:col>
      <xdr:colOff>50506</xdr:colOff>
      <xdr:row>27</xdr:row>
      <xdr:rowOff>19763</xdr:rowOff>
    </xdr:from>
    <xdr:to>
      <xdr:col>53</xdr:col>
      <xdr:colOff>15610</xdr:colOff>
      <xdr:row>33</xdr:row>
      <xdr:rowOff>22852</xdr:rowOff>
    </xdr:to>
    <xdr:cxnSp macro="">
      <xdr:nvCxnSpPr>
        <xdr:cNvPr id="312" name="Line 90"/>
        <xdr:cNvCxnSpPr>
          <a:stCxn id="218" idx="3"/>
          <a:endCxn id="203" idx="7"/>
        </xdr:cNvCxnSpPr>
      </xdr:nvCxnSpPr>
      <xdr:spPr>
        <a:xfrm flipH="1">
          <a:off x="3022306" y="4972763"/>
          <a:ext cx="2606704" cy="1146089"/>
        </a:xfrm>
        <a:prstGeom prst="straightConnector1">
          <a:avLst/>
        </a:prstGeom>
        <a:ln w="9525">
          <a:solidFill>
            <a:srgbClr val="E0B354">
              <a:alpha val="60000"/>
            </a:srgbClr>
          </a:solidFill>
        </a:ln>
      </xdr:spPr>
    </xdr:cxnSp>
    <xdr:clientData/>
  </xdr:twoCellAnchor>
  <xdr:twoCellAnchor>
    <xdr:from>
      <xdr:col>80</xdr:col>
      <xdr:colOff>17255</xdr:colOff>
      <xdr:row>20</xdr:row>
      <xdr:rowOff>109175</xdr:rowOff>
    </xdr:from>
    <xdr:to>
      <xdr:col>81</xdr:col>
      <xdr:colOff>147430</xdr:colOff>
      <xdr:row>20</xdr:row>
      <xdr:rowOff>109175</xdr:rowOff>
    </xdr:to>
    <xdr:cxnSp macro="">
      <xdr:nvCxnSpPr>
        <xdr:cNvPr id="313" name="Line 91"/>
        <xdr:cNvCxnSpPr>
          <a:stCxn id="217" idx="6"/>
          <a:endCxn id="32" idx="2"/>
        </xdr:cNvCxnSpPr>
      </xdr:nvCxnSpPr>
      <xdr:spPr>
        <a:xfrm>
          <a:off x="10088355" y="3728675"/>
          <a:ext cx="295275" cy="0"/>
        </a:xfrm>
        <a:prstGeom prst="straightConnector1">
          <a:avLst/>
        </a:prstGeom>
        <a:ln w="9525">
          <a:solidFill>
            <a:srgbClr val="E0B354">
              <a:alpha val="60000"/>
            </a:srgbClr>
          </a:solidFill>
        </a:ln>
      </xdr:spPr>
    </xdr:cxnSp>
    <xdr:clientData/>
  </xdr:twoCellAnchor>
  <xdr:twoCellAnchor>
    <xdr:from>
      <xdr:col>32</xdr:col>
      <xdr:colOff>114533</xdr:colOff>
      <xdr:row>19</xdr:row>
      <xdr:rowOff>181680</xdr:rowOff>
    </xdr:from>
    <xdr:to>
      <xdr:col>32</xdr:col>
      <xdr:colOff>114533</xdr:colOff>
      <xdr:row>21</xdr:row>
      <xdr:rowOff>105480</xdr:rowOff>
    </xdr:to>
    <xdr:cxnSp macro="">
      <xdr:nvCxnSpPr>
        <xdr:cNvPr id="314" name="Line 92"/>
        <xdr:cNvCxnSpPr>
          <a:stCxn id="222" idx="4"/>
          <a:endCxn id="194" idx="0"/>
        </xdr:cNvCxnSpPr>
      </xdr:nvCxnSpPr>
      <xdr:spPr>
        <a:xfrm>
          <a:off x="2260833" y="3610680"/>
          <a:ext cx="0" cy="304800"/>
        </a:xfrm>
        <a:prstGeom prst="straightConnector1">
          <a:avLst/>
        </a:prstGeom>
        <a:ln w="9525">
          <a:solidFill>
            <a:srgbClr val="E0B354">
              <a:alpha val="60000"/>
            </a:srgbClr>
          </a:solidFill>
        </a:ln>
      </xdr:spPr>
    </xdr:cxnSp>
    <xdr:clientData/>
  </xdr:twoCellAnchor>
  <xdr:twoCellAnchor>
    <xdr:from>
      <xdr:col>82</xdr:col>
      <xdr:colOff>138481</xdr:colOff>
      <xdr:row>32</xdr:row>
      <xdr:rowOff>154108</xdr:rowOff>
    </xdr:from>
    <xdr:to>
      <xdr:col>82</xdr:col>
      <xdr:colOff>138481</xdr:colOff>
      <xdr:row>34</xdr:row>
      <xdr:rowOff>68383</xdr:rowOff>
    </xdr:to>
    <xdr:cxnSp macro="">
      <xdr:nvCxnSpPr>
        <xdr:cNvPr id="315" name="Line 93"/>
        <xdr:cNvCxnSpPr>
          <a:stCxn id="221" idx="4"/>
          <a:endCxn id="83" idx="0"/>
        </xdr:cNvCxnSpPr>
      </xdr:nvCxnSpPr>
      <xdr:spPr>
        <a:xfrm>
          <a:off x="10539781" y="6059608"/>
          <a:ext cx="0" cy="295275"/>
        </a:xfrm>
        <a:prstGeom prst="straightConnector1">
          <a:avLst/>
        </a:prstGeom>
        <a:ln w="9525">
          <a:solidFill>
            <a:srgbClr val="E0B354">
              <a:alpha val="60000"/>
            </a:srgbClr>
          </a:solidFill>
        </a:ln>
      </xdr:spPr>
    </xdr:cxnSp>
    <xdr:clientData/>
  </xdr:twoCellAnchor>
  <xdr:twoCellAnchor>
    <xdr:from>
      <xdr:col>71</xdr:col>
      <xdr:colOff>89994</xdr:colOff>
      <xdr:row>25</xdr:row>
      <xdr:rowOff>92504</xdr:rowOff>
    </xdr:from>
    <xdr:to>
      <xdr:col>83</xdr:col>
      <xdr:colOff>99916</xdr:colOff>
      <xdr:row>26</xdr:row>
      <xdr:rowOff>37337</xdr:rowOff>
    </xdr:to>
    <xdr:cxnSp macro="">
      <xdr:nvCxnSpPr>
        <xdr:cNvPr id="316" name="Line 94"/>
        <xdr:cNvCxnSpPr>
          <a:stCxn id="23" idx="6"/>
          <a:endCxn id="50" idx="2"/>
        </xdr:cNvCxnSpPr>
      </xdr:nvCxnSpPr>
      <xdr:spPr>
        <a:xfrm flipV="1">
          <a:off x="8675194" y="4664504"/>
          <a:ext cx="1991122" cy="135333"/>
        </a:xfrm>
        <a:prstGeom prst="straightConnector1">
          <a:avLst/>
        </a:prstGeom>
        <a:ln w="12700">
          <a:solidFill>
            <a:srgbClr val="FFFFFF">
              <a:alpha val="36000"/>
            </a:srgbClr>
          </a:solidFill>
        </a:ln>
      </xdr:spPr>
    </xdr:cxnSp>
    <xdr:clientData/>
  </xdr:twoCellAnchor>
  <xdr:twoCellAnchor>
    <xdr:from>
      <xdr:col>71</xdr:col>
      <xdr:colOff>89994</xdr:colOff>
      <xdr:row>26</xdr:row>
      <xdr:rowOff>37337</xdr:rowOff>
    </xdr:from>
    <xdr:to>
      <xdr:col>77</xdr:col>
      <xdr:colOff>134339</xdr:colOff>
      <xdr:row>35</xdr:row>
      <xdr:rowOff>33575</xdr:rowOff>
    </xdr:to>
    <xdr:cxnSp macro="">
      <xdr:nvCxnSpPr>
        <xdr:cNvPr id="317" name="Line 95"/>
        <xdr:cNvCxnSpPr>
          <a:stCxn id="23" idx="5"/>
          <a:endCxn id="71" idx="1"/>
        </xdr:cNvCxnSpPr>
      </xdr:nvCxnSpPr>
      <xdr:spPr>
        <a:xfrm>
          <a:off x="8675194" y="4799837"/>
          <a:ext cx="1034945" cy="1710738"/>
        </a:xfrm>
        <a:prstGeom prst="straightConnector1">
          <a:avLst/>
        </a:prstGeom>
        <a:ln w="12700">
          <a:solidFill>
            <a:srgbClr val="FFFFFF">
              <a:alpha val="36000"/>
            </a:srgbClr>
          </a:solidFill>
        </a:ln>
      </xdr:spPr>
    </xdr:cxnSp>
    <xdr:clientData/>
  </xdr:twoCellAnchor>
  <xdr:twoCellAnchor>
    <xdr:from>
      <xdr:col>61</xdr:col>
      <xdr:colOff>33918</xdr:colOff>
      <xdr:row>26</xdr:row>
      <xdr:rowOff>37337</xdr:rowOff>
    </xdr:from>
    <xdr:to>
      <xdr:col>71</xdr:col>
      <xdr:colOff>89994</xdr:colOff>
      <xdr:row>42</xdr:row>
      <xdr:rowOff>146416</xdr:rowOff>
    </xdr:to>
    <xdr:cxnSp macro="">
      <xdr:nvCxnSpPr>
        <xdr:cNvPr id="318" name="Line 96"/>
        <xdr:cNvCxnSpPr>
          <a:stCxn id="92" idx="7"/>
          <a:endCxn id="23" idx="3"/>
        </xdr:cNvCxnSpPr>
      </xdr:nvCxnSpPr>
      <xdr:spPr>
        <a:xfrm flipV="1">
          <a:off x="6968118" y="4799837"/>
          <a:ext cx="1707077" cy="3157078"/>
        </a:xfrm>
        <a:prstGeom prst="straightConnector1">
          <a:avLst/>
        </a:prstGeom>
        <a:ln w="12700">
          <a:solidFill>
            <a:srgbClr val="FFFFFF">
              <a:alpha val="36000"/>
            </a:srgbClr>
          </a:solidFill>
        </a:ln>
      </xdr:spPr>
    </xdr:cxnSp>
    <xdr:clientData/>
  </xdr:twoCellAnchor>
  <xdr:twoCellAnchor>
    <xdr:from>
      <xdr:col>60</xdr:col>
      <xdr:colOff>90204</xdr:colOff>
      <xdr:row>20</xdr:row>
      <xdr:rowOff>148290</xdr:rowOff>
    </xdr:from>
    <xdr:to>
      <xdr:col>71</xdr:col>
      <xdr:colOff>89994</xdr:colOff>
      <xdr:row>26</xdr:row>
      <xdr:rowOff>37337</xdr:rowOff>
    </xdr:to>
    <xdr:cxnSp macro="">
      <xdr:nvCxnSpPr>
        <xdr:cNvPr id="319" name="Line 97"/>
        <xdr:cNvCxnSpPr>
          <a:stCxn id="158" idx="5"/>
          <a:endCxn id="23" idx="1"/>
        </xdr:cNvCxnSpPr>
      </xdr:nvCxnSpPr>
      <xdr:spPr>
        <a:xfrm>
          <a:off x="6859304" y="3767790"/>
          <a:ext cx="1815891" cy="1032047"/>
        </a:xfrm>
        <a:prstGeom prst="straightConnector1">
          <a:avLst/>
        </a:prstGeom>
        <a:ln w="12700">
          <a:solidFill>
            <a:srgbClr val="FFFFFF">
              <a:alpha val="36000"/>
            </a:srgbClr>
          </a:solidFill>
        </a:ln>
      </xdr:spPr>
    </xdr:cxnSp>
    <xdr:clientData/>
  </xdr:twoCellAnchor>
  <xdr:twoCellAnchor>
    <xdr:from>
      <xdr:col>56</xdr:col>
      <xdr:colOff>107903</xdr:colOff>
      <xdr:row>21</xdr:row>
      <xdr:rowOff>35437</xdr:rowOff>
    </xdr:from>
    <xdr:to>
      <xdr:col>71</xdr:col>
      <xdr:colOff>89994</xdr:colOff>
      <xdr:row>26</xdr:row>
      <xdr:rowOff>37337</xdr:rowOff>
    </xdr:to>
    <xdr:cxnSp macro="">
      <xdr:nvCxnSpPr>
        <xdr:cNvPr id="320" name="Line 98"/>
        <xdr:cNvCxnSpPr>
          <a:stCxn id="191" idx="6"/>
          <a:endCxn id="23" idx="2"/>
        </xdr:cNvCxnSpPr>
      </xdr:nvCxnSpPr>
      <xdr:spPr>
        <a:xfrm>
          <a:off x="6216603" y="3845437"/>
          <a:ext cx="2458591" cy="954400"/>
        </a:xfrm>
        <a:prstGeom prst="straightConnector1">
          <a:avLst/>
        </a:prstGeom>
        <a:ln w="12700">
          <a:solidFill>
            <a:srgbClr val="FFFFFF">
              <a:alpha val="36000"/>
            </a:srgbClr>
          </a:solidFill>
        </a:ln>
      </xdr:spPr>
    </xdr:cxnSp>
    <xdr:clientData/>
  </xdr:twoCellAnchor>
  <xdr:twoCellAnchor>
    <xdr:from>
      <xdr:col>68</xdr:col>
      <xdr:colOff>56595</xdr:colOff>
      <xdr:row>21</xdr:row>
      <xdr:rowOff>185982</xdr:rowOff>
    </xdr:from>
    <xdr:to>
      <xdr:col>79</xdr:col>
      <xdr:colOff>93</xdr:colOff>
      <xdr:row>32</xdr:row>
      <xdr:rowOff>58054</xdr:rowOff>
    </xdr:to>
    <xdr:cxnSp macro="">
      <xdr:nvCxnSpPr>
        <xdr:cNvPr id="321" name="Line 99"/>
        <xdr:cNvCxnSpPr>
          <a:stCxn id="26" idx="5"/>
          <a:endCxn id="74" idx="1"/>
        </xdr:cNvCxnSpPr>
      </xdr:nvCxnSpPr>
      <xdr:spPr>
        <a:xfrm>
          <a:off x="8146495" y="3995982"/>
          <a:ext cx="1759598" cy="1967573"/>
        </a:xfrm>
        <a:prstGeom prst="straightConnector1">
          <a:avLst/>
        </a:prstGeom>
        <a:ln w="12700">
          <a:solidFill>
            <a:srgbClr val="FFFFFF">
              <a:alpha val="36000"/>
            </a:srgbClr>
          </a:solidFill>
        </a:ln>
      </xdr:spPr>
    </xdr:cxnSp>
    <xdr:clientData/>
  </xdr:twoCellAnchor>
  <xdr:twoCellAnchor>
    <xdr:from>
      <xdr:col>60</xdr:col>
      <xdr:colOff>13833</xdr:colOff>
      <xdr:row>21</xdr:row>
      <xdr:rowOff>185982</xdr:rowOff>
    </xdr:from>
    <xdr:to>
      <xdr:col>68</xdr:col>
      <xdr:colOff>56595</xdr:colOff>
      <xdr:row>38</xdr:row>
      <xdr:rowOff>67671</xdr:rowOff>
    </xdr:to>
    <xdr:cxnSp macro="">
      <xdr:nvCxnSpPr>
        <xdr:cNvPr id="322" name="Line 100"/>
        <xdr:cNvCxnSpPr>
          <a:stCxn id="95" idx="7"/>
          <a:endCxn id="26" idx="3"/>
        </xdr:cNvCxnSpPr>
      </xdr:nvCxnSpPr>
      <xdr:spPr>
        <a:xfrm flipV="1">
          <a:off x="6782933" y="3995982"/>
          <a:ext cx="1363562" cy="3120190"/>
        </a:xfrm>
        <a:prstGeom prst="straightConnector1">
          <a:avLst/>
        </a:prstGeom>
        <a:ln w="12700">
          <a:solidFill>
            <a:srgbClr val="FFFFFF">
              <a:alpha val="36000"/>
            </a:srgbClr>
          </a:solidFill>
        </a:ln>
      </xdr:spPr>
    </xdr:cxnSp>
    <xdr:clientData/>
  </xdr:twoCellAnchor>
  <xdr:twoCellAnchor>
    <xdr:from>
      <xdr:col>62</xdr:col>
      <xdr:colOff>12452</xdr:colOff>
      <xdr:row>12</xdr:row>
      <xdr:rowOff>116633</xdr:rowOff>
    </xdr:from>
    <xdr:to>
      <xdr:col>68</xdr:col>
      <xdr:colOff>56595</xdr:colOff>
      <xdr:row>21</xdr:row>
      <xdr:rowOff>185982</xdr:rowOff>
    </xdr:to>
    <xdr:cxnSp macro="">
      <xdr:nvCxnSpPr>
        <xdr:cNvPr id="323" name="Line 101"/>
        <xdr:cNvCxnSpPr>
          <a:stCxn id="182" idx="5"/>
          <a:endCxn id="26" idx="1"/>
        </xdr:cNvCxnSpPr>
      </xdr:nvCxnSpPr>
      <xdr:spPr>
        <a:xfrm>
          <a:off x="7111752" y="2212133"/>
          <a:ext cx="1034742" cy="1783848"/>
        </a:xfrm>
        <a:prstGeom prst="straightConnector1">
          <a:avLst/>
        </a:prstGeom>
        <a:ln w="12700">
          <a:solidFill>
            <a:srgbClr val="FFFFFF">
              <a:alpha val="36000"/>
            </a:srgbClr>
          </a:solidFill>
        </a:ln>
      </xdr:spPr>
    </xdr:cxnSp>
    <xdr:clientData/>
  </xdr:twoCellAnchor>
  <xdr:twoCellAnchor>
    <xdr:from>
      <xdr:col>85</xdr:col>
      <xdr:colOff>59342</xdr:colOff>
      <xdr:row>19</xdr:row>
      <xdr:rowOff>33125</xdr:rowOff>
    </xdr:from>
    <xdr:to>
      <xdr:col>88</xdr:col>
      <xdr:colOff>79345</xdr:colOff>
      <xdr:row>24</xdr:row>
      <xdr:rowOff>187112</xdr:rowOff>
    </xdr:to>
    <xdr:cxnSp macro="">
      <xdr:nvCxnSpPr>
        <xdr:cNvPr id="324" name="Line 102"/>
        <xdr:cNvCxnSpPr>
          <a:stCxn id="44" idx="5"/>
          <a:endCxn id="29" idx="1"/>
        </xdr:cNvCxnSpPr>
      </xdr:nvCxnSpPr>
      <xdr:spPr>
        <a:xfrm>
          <a:off x="10955942" y="3462125"/>
          <a:ext cx="515303" cy="1106487"/>
        </a:xfrm>
        <a:prstGeom prst="straightConnector1">
          <a:avLst/>
        </a:prstGeom>
        <a:ln w="12700">
          <a:solidFill>
            <a:srgbClr val="FFFFFF">
              <a:alpha val="36000"/>
            </a:srgbClr>
          </a:solidFill>
        </a:ln>
      </xdr:spPr>
    </xdr:cxnSp>
    <xdr:clientData/>
  </xdr:twoCellAnchor>
  <xdr:twoCellAnchor>
    <xdr:from>
      <xdr:col>88</xdr:col>
      <xdr:colOff>79345</xdr:colOff>
      <xdr:row>21</xdr:row>
      <xdr:rowOff>16268</xdr:rowOff>
    </xdr:from>
    <xdr:to>
      <xdr:col>91</xdr:col>
      <xdr:colOff>18864</xdr:colOff>
      <xdr:row>24</xdr:row>
      <xdr:rowOff>187112</xdr:rowOff>
    </xdr:to>
    <xdr:cxnSp macro="">
      <xdr:nvCxnSpPr>
        <xdr:cNvPr id="325" name="Line 103"/>
        <xdr:cNvCxnSpPr>
          <a:stCxn id="53" idx="3"/>
          <a:endCxn id="29" idx="7"/>
        </xdr:cNvCxnSpPr>
      </xdr:nvCxnSpPr>
      <xdr:spPr>
        <a:xfrm flipH="1">
          <a:off x="11471245" y="3826268"/>
          <a:ext cx="434819" cy="742344"/>
        </a:xfrm>
        <a:prstGeom prst="straightConnector1">
          <a:avLst/>
        </a:prstGeom>
        <a:ln w="12700">
          <a:solidFill>
            <a:srgbClr val="FFFFFF">
              <a:alpha val="36000"/>
            </a:srgbClr>
          </a:solidFill>
        </a:ln>
      </xdr:spPr>
    </xdr:cxnSp>
    <xdr:clientData/>
  </xdr:twoCellAnchor>
  <xdr:twoCellAnchor>
    <xdr:from>
      <xdr:col>81</xdr:col>
      <xdr:colOff>147430</xdr:colOff>
      <xdr:row>19</xdr:row>
      <xdr:rowOff>33125</xdr:rowOff>
    </xdr:from>
    <xdr:to>
      <xdr:col>85</xdr:col>
      <xdr:colOff>59342</xdr:colOff>
      <xdr:row>20</xdr:row>
      <xdr:rowOff>109175</xdr:rowOff>
    </xdr:to>
    <xdr:cxnSp macro="">
      <xdr:nvCxnSpPr>
        <xdr:cNvPr id="326" name="Line 104"/>
        <xdr:cNvCxnSpPr>
          <a:stCxn id="32" idx="7"/>
          <a:endCxn id="44" idx="3"/>
        </xdr:cNvCxnSpPr>
      </xdr:nvCxnSpPr>
      <xdr:spPr>
        <a:xfrm flipV="1">
          <a:off x="10383630" y="3462125"/>
          <a:ext cx="572313" cy="266550"/>
        </a:xfrm>
        <a:prstGeom prst="straightConnector1">
          <a:avLst/>
        </a:prstGeom>
        <a:ln w="12700">
          <a:solidFill>
            <a:srgbClr val="FFFFFF">
              <a:alpha val="36000"/>
            </a:srgbClr>
          </a:solidFill>
        </a:ln>
      </xdr:spPr>
    </xdr:cxnSp>
    <xdr:clientData/>
  </xdr:twoCellAnchor>
  <xdr:twoCellAnchor>
    <xdr:from>
      <xdr:col>81</xdr:col>
      <xdr:colOff>147430</xdr:colOff>
      <xdr:row>20</xdr:row>
      <xdr:rowOff>109175</xdr:rowOff>
    </xdr:from>
    <xdr:to>
      <xdr:col>82</xdr:col>
      <xdr:colOff>24008</xdr:colOff>
      <xdr:row>37</xdr:row>
      <xdr:rowOff>49333</xdr:rowOff>
    </xdr:to>
    <xdr:cxnSp macro="">
      <xdr:nvCxnSpPr>
        <xdr:cNvPr id="327" name="Line 105"/>
        <xdr:cNvCxnSpPr>
          <a:stCxn id="80" idx="0"/>
          <a:endCxn id="32" idx="4"/>
        </xdr:cNvCxnSpPr>
      </xdr:nvCxnSpPr>
      <xdr:spPr>
        <a:xfrm flipH="1" flipV="1">
          <a:off x="10383630" y="3728675"/>
          <a:ext cx="41678" cy="3178658"/>
        </a:xfrm>
        <a:prstGeom prst="straightConnector1">
          <a:avLst/>
        </a:prstGeom>
        <a:ln w="12700">
          <a:solidFill>
            <a:srgbClr val="FFFFFF">
              <a:alpha val="36000"/>
            </a:srgbClr>
          </a:solidFill>
        </a:ln>
      </xdr:spPr>
    </xdr:cxnSp>
    <xdr:clientData/>
  </xdr:twoCellAnchor>
  <xdr:twoCellAnchor>
    <xdr:from>
      <xdr:col>73</xdr:col>
      <xdr:colOff>74023</xdr:colOff>
      <xdr:row>19</xdr:row>
      <xdr:rowOff>33125</xdr:rowOff>
    </xdr:from>
    <xdr:to>
      <xdr:col>85</xdr:col>
      <xdr:colOff>59342</xdr:colOff>
      <xdr:row>20</xdr:row>
      <xdr:rowOff>86382</xdr:rowOff>
    </xdr:to>
    <xdr:cxnSp macro="">
      <xdr:nvCxnSpPr>
        <xdr:cNvPr id="328" name="Line 106"/>
        <xdr:cNvCxnSpPr>
          <a:stCxn id="35" idx="6"/>
          <a:endCxn id="44" idx="2"/>
        </xdr:cNvCxnSpPr>
      </xdr:nvCxnSpPr>
      <xdr:spPr>
        <a:xfrm flipV="1">
          <a:off x="8989423" y="3462125"/>
          <a:ext cx="1966519" cy="243757"/>
        </a:xfrm>
        <a:prstGeom prst="straightConnector1">
          <a:avLst/>
        </a:prstGeom>
        <a:ln w="12700">
          <a:solidFill>
            <a:srgbClr val="FFFFFF">
              <a:alpha val="36000"/>
            </a:srgbClr>
          </a:solidFill>
        </a:ln>
      </xdr:spPr>
    </xdr:cxnSp>
    <xdr:clientData/>
  </xdr:twoCellAnchor>
  <xdr:twoCellAnchor>
    <xdr:from>
      <xdr:col>67</xdr:col>
      <xdr:colOff>49996</xdr:colOff>
      <xdr:row>20</xdr:row>
      <xdr:rowOff>86382</xdr:rowOff>
    </xdr:from>
    <xdr:to>
      <xdr:col>73</xdr:col>
      <xdr:colOff>74023</xdr:colOff>
      <xdr:row>29</xdr:row>
      <xdr:rowOff>126199</xdr:rowOff>
    </xdr:to>
    <xdr:cxnSp macro="">
      <xdr:nvCxnSpPr>
        <xdr:cNvPr id="329" name="Line 107"/>
        <xdr:cNvCxnSpPr>
          <a:stCxn id="107" idx="7"/>
          <a:endCxn id="35" idx="3"/>
        </xdr:cNvCxnSpPr>
      </xdr:nvCxnSpPr>
      <xdr:spPr>
        <a:xfrm flipV="1">
          <a:off x="7974796" y="3705882"/>
          <a:ext cx="1014627" cy="1754317"/>
        </a:xfrm>
        <a:prstGeom prst="straightConnector1">
          <a:avLst/>
        </a:prstGeom>
        <a:ln w="12700">
          <a:solidFill>
            <a:srgbClr val="FFFFFF">
              <a:alpha val="36000"/>
            </a:srgbClr>
          </a:solidFill>
        </a:ln>
      </xdr:spPr>
    </xdr:cxnSp>
    <xdr:clientData/>
  </xdr:twoCellAnchor>
  <xdr:twoCellAnchor>
    <xdr:from>
      <xdr:col>62</xdr:col>
      <xdr:colOff>19406</xdr:colOff>
      <xdr:row>20</xdr:row>
      <xdr:rowOff>86382</xdr:rowOff>
    </xdr:from>
    <xdr:to>
      <xdr:col>73</xdr:col>
      <xdr:colOff>74023</xdr:colOff>
      <xdr:row>30</xdr:row>
      <xdr:rowOff>35709</xdr:rowOff>
    </xdr:to>
    <xdr:cxnSp macro="">
      <xdr:nvCxnSpPr>
        <xdr:cNvPr id="330" name="Line 108"/>
        <xdr:cNvCxnSpPr>
          <a:stCxn id="137" idx="7"/>
          <a:endCxn id="35" idx="3"/>
        </xdr:cNvCxnSpPr>
      </xdr:nvCxnSpPr>
      <xdr:spPr>
        <a:xfrm flipV="1">
          <a:off x="7118706" y="3705882"/>
          <a:ext cx="1870718" cy="1854327"/>
        </a:xfrm>
        <a:prstGeom prst="straightConnector1">
          <a:avLst/>
        </a:prstGeom>
        <a:ln w="12700">
          <a:solidFill>
            <a:srgbClr val="FFFFFF">
              <a:alpha val="36000"/>
            </a:srgbClr>
          </a:solidFill>
        </a:ln>
      </xdr:spPr>
    </xdr:cxnSp>
    <xdr:clientData/>
  </xdr:twoCellAnchor>
  <xdr:twoCellAnchor>
    <xdr:from>
      <xdr:col>64</xdr:col>
      <xdr:colOff>24977</xdr:colOff>
      <xdr:row>19</xdr:row>
      <xdr:rowOff>12200</xdr:rowOff>
    </xdr:from>
    <xdr:to>
      <xdr:col>73</xdr:col>
      <xdr:colOff>74023</xdr:colOff>
      <xdr:row>20</xdr:row>
      <xdr:rowOff>86382</xdr:rowOff>
    </xdr:to>
    <xdr:cxnSp macro="">
      <xdr:nvCxnSpPr>
        <xdr:cNvPr id="331" name="Line 109"/>
        <xdr:cNvCxnSpPr>
          <a:stCxn id="161" idx="6"/>
          <a:endCxn id="35" idx="2"/>
        </xdr:cNvCxnSpPr>
      </xdr:nvCxnSpPr>
      <xdr:spPr>
        <a:xfrm>
          <a:off x="7454477" y="3441200"/>
          <a:ext cx="1534946" cy="264682"/>
        </a:xfrm>
        <a:prstGeom prst="straightConnector1">
          <a:avLst/>
        </a:prstGeom>
        <a:ln w="12700">
          <a:solidFill>
            <a:srgbClr val="FFFFFF">
              <a:alpha val="36000"/>
            </a:srgbClr>
          </a:solidFill>
        </a:ln>
      </xdr:spPr>
    </xdr:cxnSp>
    <xdr:clientData/>
  </xdr:twoCellAnchor>
  <xdr:twoCellAnchor>
    <xdr:from>
      <xdr:col>81</xdr:col>
      <xdr:colOff>164457</xdr:colOff>
      <xdr:row>22</xdr:row>
      <xdr:rowOff>23600</xdr:rowOff>
    </xdr:from>
    <xdr:to>
      <xdr:col>85</xdr:col>
      <xdr:colOff>59342</xdr:colOff>
      <xdr:row>28</xdr:row>
      <xdr:rowOff>64806</xdr:rowOff>
    </xdr:to>
    <xdr:cxnSp macro="">
      <xdr:nvCxnSpPr>
        <xdr:cNvPr id="332" name="Line 110"/>
        <xdr:cNvCxnSpPr>
          <a:stCxn id="38" idx="7"/>
          <a:endCxn id="47" idx="3"/>
        </xdr:cNvCxnSpPr>
      </xdr:nvCxnSpPr>
      <xdr:spPr>
        <a:xfrm flipV="1">
          <a:off x="10400657" y="4024100"/>
          <a:ext cx="555286" cy="1184206"/>
        </a:xfrm>
        <a:prstGeom prst="straightConnector1">
          <a:avLst/>
        </a:prstGeom>
        <a:ln w="12700">
          <a:solidFill>
            <a:srgbClr val="FFFFFF">
              <a:alpha val="36000"/>
            </a:srgbClr>
          </a:solidFill>
        </a:ln>
      </xdr:spPr>
    </xdr:cxnSp>
    <xdr:clientData/>
  </xdr:twoCellAnchor>
  <xdr:twoCellAnchor>
    <xdr:from>
      <xdr:col>81</xdr:col>
      <xdr:colOff>164457</xdr:colOff>
      <xdr:row>28</xdr:row>
      <xdr:rowOff>64806</xdr:rowOff>
    </xdr:from>
    <xdr:to>
      <xdr:col>82</xdr:col>
      <xdr:colOff>138481</xdr:colOff>
      <xdr:row>34</xdr:row>
      <xdr:rowOff>68383</xdr:rowOff>
    </xdr:to>
    <xdr:cxnSp macro="">
      <xdr:nvCxnSpPr>
        <xdr:cNvPr id="333" name="Line 111"/>
        <xdr:cNvCxnSpPr>
          <a:stCxn id="83" idx="0"/>
          <a:endCxn id="38" idx="4"/>
        </xdr:cNvCxnSpPr>
      </xdr:nvCxnSpPr>
      <xdr:spPr>
        <a:xfrm flipH="1" flipV="1">
          <a:off x="10400657" y="5208306"/>
          <a:ext cx="139124" cy="1146577"/>
        </a:xfrm>
        <a:prstGeom prst="straightConnector1">
          <a:avLst/>
        </a:prstGeom>
        <a:ln w="12700">
          <a:solidFill>
            <a:srgbClr val="FFFFFF">
              <a:alpha val="36000"/>
            </a:srgbClr>
          </a:solidFill>
        </a:ln>
      </xdr:spPr>
    </xdr:cxnSp>
    <xdr:clientData/>
  </xdr:twoCellAnchor>
  <xdr:twoCellAnchor>
    <xdr:from>
      <xdr:col>67</xdr:col>
      <xdr:colOff>76844</xdr:colOff>
      <xdr:row>28</xdr:row>
      <xdr:rowOff>64806</xdr:rowOff>
    </xdr:from>
    <xdr:to>
      <xdr:col>81</xdr:col>
      <xdr:colOff>164457</xdr:colOff>
      <xdr:row>34</xdr:row>
      <xdr:rowOff>8887</xdr:rowOff>
    </xdr:to>
    <xdr:cxnSp macro="">
      <xdr:nvCxnSpPr>
        <xdr:cNvPr id="334" name="Line 112"/>
        <xdr:cNvCxnSpPr>
          <a:stCxn id="143" idx="7"/>
          <a:endCxn id="38" idx="3"/>
        </xdr:cNvCxnSpPr>
      </xdr:nvCxnSpPr>
      <xdr:spPr>
        <a:xfrm flipV="1">
          <a:off x="8001644" y="5208306"/>
          <a:ext cx="2399013" cy="1087081"/>
        </a:xfrm>
        <a:prstGeom prst="straightConnector1">
          <a:avLst/>
        </a:prstGeom>
        <a:ln w="12700">
          <a:solidFill>
            <a:srgbClr val="FFFFFF">
              <a:alpha val="36000"/>
            </a:srgbClr>
          </a:solidFill>
        </a:ln>
      </xdr:spPr>
    </xdr:cxnSp>
    <xdr:clientData/>
  </xdr:twoCellAnchor>
  <xdr:twoCellAnchor>
    <xdr:from>
      <xdr:col>74</xdr:col>
      <xdr:colOff>65476</xdr:colOff>
      <xdr:row>22</xdr:row>
      <xdr:rowOff>23600</xdr:rowOff>
    </xdr:from>
    <xdr:to>
      <xdr:col>85</xdr:col>
      <xdr:colOff>59342</xdr:colOff>
      <xdr:row>23</xdr:row>
      <xdr:rowOff>61790</xdr:rowOff>
    </xdr:to>
    <xdr:cxnSp macro="">
      <xdr:nvCxnSpPr>
        <xdr:cNvPr id="335" name="Line 113"/>
        <xdr:cNvCxnSpPr>
          <a:stCxn id="41" idx="6"/>
          <a:endCxn id="47" idx="2"/>
        </xdr:cNvCxnSpPr>
      </xdr:nvCxnSpPr>
      <xdr:spPr>
        <a:xfrm flipV="1">
          <a:off x="9145976" y="4024100"/>
          <a:ext cx="1809966" cy="228690"/>
        </a:xfrm>
        <a:prstGeom prst="straightConnector1">
          <a:avLst/>
        </a:prstGeom>
        <a:ln w="12700">
          <a:solidFill>
            <a:srgbClr val="FFFFFF">
              <a:alpha val="36000"/>
            </a:srgbClr>
          </a:solidFill>
        </a:ln>
      </xdr:spPr>
    </xdr:cxnSp>
    <xdr:clientData/>
  </xdr:twoCellAnchor>
  <xdr:twoCellAnchor>
    <xdr:from>
      <xdr:col>63</xdr:col>
      <xdr:colOff>143792</xdr:colOff>
      <xdr:row>23</xdr:row>
      <xdr:rowOff>61790</xdr:rowOff>
    </xdr:from>
    <xdr:to>
      <xdr:col>74</xdr:col>
      <xdr:colOff>65476</xdr:colOff>
      <xdr:row>36</xdr:row>
      <xdr:rowOff>18412</xdr:rowOff>
    </xdr:to>
    <xdr:cxnSp macro="">
      <xdr:nvCxnSpPr>
        <xdr:cNvPr id="336" name="Line 114"/>
        <xdr:cNvCxnSpPr>
          <a:stCxn id="146" idx="7"/>
          <a:endCxn id="41" idx="3"/>
        </xdr:cNvCxnSpPr>
      </xdr:nvCxnSpPr>
      <xdr:spPr>
        <a:xfrm flipV="1">
          <a:off x="7408192" y="4252790"/>
          <a:ext cx="1737784" cy="2433121"/>
        </a:xfrm>
        <a:prstGeom prst="straightConnector1">
          <a:avLst/>
        </a:prstGeom>
        <a:ln w="12700">
          <a:solidFill>
            <a:srgbClr val="FFFFFF">
              <a:alpha val="36000"/>
            </a:srgbClr>
          </a:solidFill>
        </a:ln>
      </xdr:spPr>
    </xdr:cxnSp>
    <xdr:clientData/>
  </xdr:twoCellAnchor>
  <xdr:twoCellAnchor>
    <xdr:from>
      <xdr:col>63</xdr:col>
      <xdr:colOff>90898</xdr:colOff>
      <xdr:row>16</xdr:row>
      <xdr:rowOff>29070</xdr:rowOff>
    </xdr:from>
    <xdr:to>
      <xdr:col>74</xdr:col>
      <xdr:colOff>65476</xdr:colOff>
      <xdr:row>23</xdr:row>
      <xdr:rowOff>61790</xdr:rowOff>
    </xdr:to>
    <xdr:cxnSp macro="">
      <xdr:nvCxnSpPr>
        <xdr:cNvPr id="337" name="Line 115"/>
        <xdr:cNvCxnSpPr>
          <a:stCxn id="176" idx="5"/>
          <a:endCxn id="41" idx="1"/>
        </xdr:cNvCxnSpPr>
      </xdr:nvCxnSpPr>
      <xdr:spPr>
        <a:xfrm>
          <a:off x="7355298" y="2886570"/>
          <a:ext cx="1790678" cy="1366220"/>
        </a:xfrm>
        <a:prstGeom prst="straightConnector1">
          <a:avLst/>
        </a:prstGeom>
        <a:ln w="12700">
          <a:solidFill>
            <a:srgbClr val="FFFFFF">
              <a:alpha val="36000"/>
            </a:srgbClr>
          </a:solidFill>
        </a:ln>
      </xdr:spPr>
    </xdr:cxnSp>
    <xdr:clientData/>
  </xdr:twoCellAnchor>
  <xdr:twoCellAnchor>
    <xdr:from>
      <xdr:col>85</xdr:col>
      <xdr:colOff>59342</xdr:colOff>
      <xdr:row>21</xdr:row>
      <xdr:rowOff>16268</xdr:rowOff>
    </xdr:from>
    <xdr:to>
      <xdr:col>91</xdr:col>
      <xdr:colOff>18864</xdr:colOff>
      <xdr:row>22</xdr:row>
      <xdr:rowOff>23600</xdr:rowOff>
    </xdr:to>
    <xdr:cxnSp macro="">
      <xdr:nvCxnSpPr>
        <xdr:cNvPr id="338" name="Line 116"/>
        <xdr:cNvCxnSpPr>
          <a:stCxn id="47" idx="6"/>
          <a:endCxn id="53" idx="2"/>
        </xdr:cNvCxnSpPr>
      </xdr:nvCxnSpPr>
      <xdr:spPr>
        <a:xfrm flipV="1">
          <a:off x="10955942" y="3826268"/>
          <a:ext cx="950122" cy="197832"/>
        </a:xfrm>
        <a:prstGeom prst="straightConnector1">
          <a:avLst/>
        </a:prstGeom>
        <a:ln w="12700">
          <a:solidFill>
            <a:srgbClr val="FFFFFF">
              <a:alpha val="36000"/>
            </a:srgbClr>
          </a:solidFill>
        </a:ln>
      </xdr:spPr>
    </xdr:cxnSp>
    <xdr:clientData/>
  </xdr:twoCellAnchor>
  <xdr:twoCellAnchor>
    <xdr:from>
      <xdr:col>83</xdr:col>
      <xdr:colOff>99916</xdr:colOff>
      <xdr:row>21</xdr:row>
      <xdr:rowOff>16268</xdr:rowOff>
    </xdr:from>
    <xdr:to>
      <xdr:col>91</xdr:col>
      <xdr:colOff>18864</xdr:colOff>
      <xdr:row>25</xdr:row>
      <xdr:rowOff>92504</xdr:rowOff>
    </xdr:to>
    <xdr:cxnSp macro="">
      <xdr:nvCxnSpPr>
        <xdr:cNvPr id="339" name="Line 117"/>
        <xdr:cNvCxnSpPr>
          <a:stCxn id="50" idx="7"/>
          <a:endCxn id="53" idx="3"/>
        </xdr:cNvCxnSpPr>
      </xdr:nvCxnSpPr>
      <xdr:spPr>
        <a:xfrm flipV="1">
          <a:off x="10666316" y="3826268"/>
          <a:ext cx="1239748" cy="838236"/>
        </a:xfrm>
        <a:prstGeom prst="straightConnector1">
          <a:avLst/>
        </a:prstGeom>
        <a:ln w="12700">
          <a:solidFill>
            <a:srgbClr val="FFFFFF">
              <a:alpha val="36000"/>
            </a:srgbClr>
          </a:solidFill>
        </a:ln>
      </xdr:spPr>
    </xdr:cxnSp>
    <xdr:clientData/>
  </xdr:twoCellAnchor>
  <xdr:twoCellAnchor>
    <xdr:from>
      <xdr:col>70</xdr:col>
      <xdr:colOff>30917</xdr:colOff>
      <xdr:row>37</xdr:row>
      <xdr:rowOff>49333</xdr:rowOff>
    </xdr:from>
    <xdr:to>
      <xdr:col>82</xdr:col>
      <xdr:colOff>24008</xdr:colOff>
      <xdr:row>41</xdr:row>
      <xdr:rowOff>75773</xdr:rowOff>
    </xdr:to>
    <xdr:cxnSp macro="">
      <xdr:nvCxnSpPr>
        <xdr:cNvPr id="340" name="Line 118"/>
        <xdr:cNvCxnSpPr>
          <a:stCxn id="56" idx="6"/>
          <a:endCxn id="80" idx="2"/>
        </xdr:cNvCxnSpPr>
      </xdr:nvCxnSpPr>
      <xdr:spPr>
        <a:xfrm flipV="1">
          <a:off x="8451017" y="6907333"/>
          <a:ext cx="1974290" cy="788439"/>
        </a:xfrm>
        <a:prstGeom prst="straightConnector1">
          <a:avLst/>
        </a:prstGeom>
        <a:ln w="12700">
          <a:solidFill>
            <a:srgbClr val="FFFFFF">
              <a:alpha val="36000"/>
            </a:srgbClr>
          </a:solidFill>
        </a:ln>
      </xdr:spPr>
    </xdr:cxnSp>
    <xdr:clientData/>
  </xdr:twoCellAnchor>
  <xdr:twoCellAnchor>
    <xdr:from>
      <xdr:col>58</xdr:col>
      <xdr:colOff>25217</xdr:colOff>
      <xdr:row>40</xdr:row>
      <xdr:rowOff>123735</xdr:rowOff>
    </xdr:from>
    <xdr:to>
      <xdr:col>70</xdr:col>
      <xdr:colOff>30917</xdr:colOff>
      <xdr:row>41</xdr:row>
      <xdr:rowOff>75773</xdr:rowOff>
    </xdr:to>
    <xdr:cxnSp macro="">
      <xdr:nvCxnSpPr>
        <xdr:cNvPr id="341" name="Line 119"/>
        <xdr:cNvCxnSpPr>
          <a:stCxn id="140" idx="6"/>
          <a:endCxn id="56" idx="2"/>
        </xdr:cNvCxnSpPr>
      </xdr:nvCxnSpPr>
      <xdr:spPr>
        <a:xfrm>
          <a:off x="6464117" y="7553235"/>
          <a:ext cx="1986900" cy="142538"/>
        </a:xfrm>
        <a:prstGeom prst="straightConnector1">
          <a:avLst/>
        </a:prstGeom>
        <a:ln w="12700">
          <a:solidFill>
            <a:srgbClr val="FFFFFF">
              <a:alpha val="36000"/>
            </a:srgbClr>
          </a:solidFill>
        </a:ln>
      </xdr:spPr>
    </xdr:cxnSp>
    <xdr:clientData/>
  </xdr:twoCellAnchor>
  <xdr:twoCellAnchor>
    <xdr:from>
      <xdr:col>73</xdr:col>
      <xdr:colOff>36995</xdr:colOff>
      <xdr:row>38</xdr:row>
      <xdr:rowOff>39193</xdr:rowOff>
    </xdr:from>
    <xdr:to>
      <xdr:col>77</xdr:col>
      <xdr:colOff>140975</xdr:colOff>
      <xdr:row>44</xdr:row>
      <xdr:rowOff>66668</xdr:rowOff>
    </xdr:to>
    <xdr:cxnSp macro="">
      <xdr:nvCxnSpPr>
        <xdr:cNvPr id="342" name="Line 120"/>
        <xdr:cNvCxnSpPr>
          <a:stCxn id="59" idx="3"/>
          <a:endCxn id="65" idx="7"/>
        </xdr:cNvCxnSpPr>
      </xdr:nvCxnSpPr>
      <xdr:spPr>
        <a:xfrm flipH="1">
          <a:off x="8952395" y="7087693"/>
          <a:ext cx="764380" cy="1170475"/>
        </a:xfrm>
        <a:prstGeom prst="straightConnector1">
          <a:avLst/>
        </a:prstGeom>
        <a:ln w="12700">
          <a:solidFill>
            <a:srgbClr val="FFFFFF">
              <a:alpha val="36000"/>
            </a:srgbClr>
          </a:solidFill>
        </a:ln>
      </xdr:spPr>
    </xdr:cxnSp>
    <xdr:clientData/>
  </xdr:twoCellAnchor>
  <xdr:twoCellAnchor>
    <xdr:from>
      <xdr:col>67</xdr:col>
      <xdr:colOff>49996</xdr:colOff>
      <xdr:row>29</xdr:row>
      <xdr:rowOff>126199</xdr:rowOff>
    </xdr:from>
    <xdr:to>
      <xdr:col>77</xdr:col>
      <xdr:colOff>140975</xdr:colOff>
      <xdr:row>38</xdr:row>
      <xdr:rowOff>39193</xdr:rowOff>
    </xdr:to>
    <xdr:cxnSp macro="">
      <xdr:nvCxnSpPr>
        <xdr:cNvPr id="343" name="Line 121"/>
        <xdr:cNvCxnSpPr>
          <a:stCxn id="107" idx="5"/>
          <a:endCxn id="59" idx="1"/>
        </xdr:cNvCxnSpPr>
      </xdr:nvCxnSpPr>
      <xdr:spPr>
        <a:xfrm>
          <a:off x="7974796" y="5460199"/>
          <a:ext cx="1741978" cy="1627494"/>
        </a:xfrm>
        <a:prstGeom prst="straightConnector1">
          <a:avLst/>
        </a:prstGeom>
        <a:ln w="12700">
          <a:solidFill>
            <a:srgbClr val="FFFFFF">
              <a:alpha val="36000"/>
            </a:srgbClr>
          </a:solidFill>
        </a:ln>
      </xdr:spPr>
    </xdr:cxnSp>
    <xdr:clientData/>
  </xdr:twoCellAnchor>
  <xdr:twoCellAnchor>
    <xdr:from>
      <xdr:col>82</xdr:col>
      <xdr:colOff>102486</xdr:colOff>
      <xdr:row>34</xdr:row>
      <xdr:rowOff>68383</xdr:rowOff>
    </xdr:from>
    <xdr:to>
      <xdr:col>82</xdr:col>
      <xdr:colOff>138481</xdr:colOff>
      <xdr:row>40</xdr:row>
      <xdr:rowOff>51166</xdr:rowOff>
    </xdr:to>
    <xdr:cxnSp macro="">
      <xdr:nvCxnSpPr>
        <xdr:cNvPr id="344" name="Line 122"/>
        <xdr:cNvCxnSpPr>
          <a:stCxn id="83" idx="4"/>
          <a:endCxn id="62" idx="0"/>
        </xdr:cNvCxnSpPr>
      </xdr:nvCxnSpPr>
      <xdr:spPr>
        <a:xfrm flipH="1">
          <a:off x="10503786" y="6354883"/>
          <a:ext cx="35995" cy="1125783"/>
        </a:xfrm>
        <a:prstGeom prst="straightConnector1">
          <a:avLst/>
        </a:prstGeom>
        <a:ln w="12700">
          <a:solidFill>
            <a:srgbClr val="FFFFFF">
              <a:alpha val="36000"/>
            </a:srgbClr>
          </a:solidFill>
        </a:ln>
      </xdr:spPr>
    </xdr:cxnSp>
    <xdr:clientData/>
  </xdr:twoCellAnchor>
  <xdr:twoCellAnchor>
    <xdr:from>
      <xdr:col>79</xdr:col>
      <xdr:colOff>58736</xdr:colOff>
      <xdr:row>40</xdr:row>
      <xdr:rowOff>51166</xdr:rowOff>
    </xdr:from>
    <xdr:to>
      <xdr:col>82</xdr:col>
      <xdr:colOff>102486</xdr:colOff>
      <xdr:row>44</xdr:row>
      <xdr:rowOff>4748</xdr:rowOff>
    </xdr:to>
    <xdr:cxnSp macro="">
      <xdr:nvCxnSpPr>
        <xdr:cNvPr id="345" name="Line 123"/>
        <xdr:cNvCxnSpPr>
          <a:stCxn id="62" idx="3"/>
          <a:endCxn id="86" idx="7"/>
        </xdr:cNvCxnSpPr>
      </xdr:nvCxnSpPr>
      <xdr:spPr>
        <a:xfrm flipH="1">
          <a:off x="9964736" y="7480666"/>
          <a:ext cx="539050" cy="715582"/>
        </a:xfrm>
        <a:prstGeom prst="straightConnector1">
          <a:avLst/>
        </a:prstGeom>
        <a:ln w="12700">
          <a:solidFill>
            <a:srgbClr val="FFFFFF">
              <a:alpha val="36000"/>
            </a:srgbClr>
          </a:solidFill>
        </a:ln>
      </xdr:spPr>
    </xdr:cxnSp>
    <xdr:clientData/>
  </xdr:twoCellAnchor>
  <xdr:twoCellAnchor>
    <xdr:from>
      <xdr:col>73</xdr:col>
      <xdr:colOff>36995</xdr:colOff>
      <xdr:row>44</xdr:row>
      <xdr:rowOff>4748</xdr:rowOff>
    </xdr:from>
    <xdr:to>
      <xdr:col>79</xdr:col>
      <xdr:colOff>58736</xdr:colOff>
      <xdr:row>44</xdr:row>
      <xdr:rowOff>66668</xdr:rowOff>
    </xdr:to>
    <xdr:cxnSp macro="">
      <xdr:nvCxnSpPr>
        <xdr:cNvPr id="346" name="Line 124"/>
        <xdr:cNvCxnSpPr>
          <a:stCxn id="65" idx="6"/>
          <a:endCxn id="86" idx="2"/>
        </xdr:cNvCxnSpPr>
      </xdr:nvCxnSpPr>
      <xdr:spPr>
        <a:xfrm flipV="1">
          <a:off x="8952395" y="8196248"/>
          <a:ext cx="1012341" cy="61920"/>
        </a:xfrm>
        <a:prstGeom prst="straightConnector1">
          <a:avLst/>
        </a:prstGeom>
        <a:ln w="12700">
          <a:solidFill>
            <a:srgbClr val="FFFFFF">
              <a:alpha val="36000"/>
            </a:srgbClr>
          </a:solidFill>
        </a:ln>
      </xdr:spPr>
    </xdr:cxnSp>
    <xdr:clientData/>
  </xdr:twoCellAnchor>
  <xdr:twoCellAnchor>
    <xdr:from>
      <xdr:col>76</xdr:col>
      <xdr:colOff>7919</xdr:colOff>
      <xdr:row>35</xdr:row>
      <xdr:rowOff>33575</xdr:rowOff>
    </xdr:from>
    <xdr:to>
      <xdr:col>77</xdr:col>
      <xdr:colOff>134339</xdr:colOff>
      <xdr:row>41</xdr:row>
      <xdr:rowOff>14273</xdr:rowOff>
    </xdr:to>
    <xdr:cxnSp macro="">
      <xdr:nvCxnSpPr>
        <xdr:cNvPr id="347" name="Line 125"/>
        <xdr:cNvCxnSpPr>
          <a:stCxn id="71" idx="4"/>
          <a:endCxn id="68" idx="0"/>
        </xdr:cNvCxnSpPr>
      </xdr:nvCxnSpPr>
      <xdr:spPr>
        <a:xfrm flipH="1">
          <a:off x="9418619" y="6510575"/>
          <a:ext cx="291520" cy="1123698"/>
        </a:xfrm>
        <a:prstGeom prst="straightConnector1">
          <a:avLst/>
        </a:prstGeom>
        <a:ln w="12700">
          <a:solidFill>
            <a:srgbClr val="FFFFFF">
              <a:alpha val="36000"/>
            </a:srgbClr>
          </a:solidFill>
        </a:ln>
      </xdr:spPr>
    </xdr:cxnSp>
    <xdr:clientData/>
  </xdr:twoCellAnchor>
  <xdr:twoCellAnchor>
    <xdr:from>
      <xdr:col>76</xdr:col>
      <xdr:colOff>7919</xdr:colOff>
      <xdr:row>41</xdr:row>
      <xdr:rowOff>14273</xdr:rowOff>
    </xdr:from>
    <xdr:to>
      <xdr:col>79</xdr:col>
      <xdr:colOff>58736</xdr:colOff>
      <xdr:row>44</xdr:row>
      <xdr:rowOff>4748</xdr:rowOff>
    </xdr:to>
    <xdr:cxnSp macro="">
      <xdr:nvCxnSpPr>
        <xdr:cNvPr id="348" name="Line 126"/>
        <xdr:cNvCxnSpPr>
          <a:stCxn id="68" idx="5"/>
          <a:endCxn id="86" idx="1"/>
        </xdr:cNvCxnSpPr>
      </xdr:nvCxnSpPr>
      <xdr:spPr>
        <a:xfrm>
          <a:off x="9418619" y="7634273"/>
          <a:ext cx="546117" cy="561975"/>
        </a:xfrm>
        <a:prstGeom prst="straightConnector1">
          <a:avLst/>
        </a:prstGeom>
        <a:ln w="12700">
          <a:solidFill>
            <a:srgbClr val="FFFFFF">
              <a:alpha val="36000"/>
            </a:srgbClr>
          </a:solidFill>
        </a:ln>
      </xdr:spPr>
    </xdr:cxnSp>
    <xdr:clientData/>
  </xdr:twoCellAnchor>
  <xdr:twoCellAnchor>
    <xdr:from>
      <xdr:col>73</xdr:col>
      <xdr:colOff>69412</xdr:colOff>
      <xdr:row>31</xdr:row>
      <xdr:rowOff>116790</xdr:rowOff>
    </xdr:from>
    <xdr:to>
      <xdr:col>76</xdr:col>
      <xdr:colOff>7919</xdr:colOff>
      <xdr:row>41</xdr:row>
      <xdr:rowOff>14273</xdr:rowOff>
    </xdr:to>
    <xdr:cxnSp macro="">
      <xdr:nvCxnSpPr>
        <xdr:cNvPr id="349" name="Line 127"/>
        <xdr:cNvCxnSpPr>
          <a:stCxn id="89" idx="4"/>
          <a:endCxn id="68" idx="0"/>
        </xdr:cNvCxnSpPr>
      </xdr:nvCxnSpPr>
      <xdr:spPr>
        <a:xfrm>
          <a:off x="8984812" y="5831790"/>
          <a:ext cx="433807" cy="1802483"/>
        </a:xfrm>
        <a:prstGeom prst="straightConnector1">
          <a:avLst/>
        </a:prstGeom>
        <a:ln w="12700">
          <a:solidFill>
            <a:srgbClr val="FFFFFF">
              <a:alpha val="36000"/>
            </a:srgbClr>
          </a:solidFill>
        </a:ln>
      </xdr:spPr>
    </xdr:cxnSp>
    <xdr:clientData/>
  </xdr:twoCellAnchor>
  <xdr:twoCellAnchor>
    <xdr:from>
      <xdr:col>65</xdr:col>
      <xdr:colOff>99558</xdr:colOff>
      <xdr:row>35</xdr:row>
      <xdr:rowOff>33575</xdr:rowOff>
    </xdr:from>
    <xdr:to>
      <xdr:col>77</xdr:col>
      <xdr:colOff>134339</xdr:colOff>
      <xdr:row>38</xdr:row>
      <xdr:rowOff>179372</xdr:rowOff>
    </xdr:to>
    <xdr:cxnSp macro="">
      <xdr:nvCxnSpPr>
        <xdr:cNvPr id="350" name="Line 128"/>
        <xdr:cNvCxnSpPr>
          <a:stCxn id="128" idx="6"/>
          <a:endCxn id="71" idx="2"/>
        </xdr:cNvCxnSpPr>
      </xdr:nvCxnSpPr>
      <xdr:spPr>
        <a:xfrm flipV="1">
          <a:off x="7694158" y="6510575"/>
          <a:ext cx="2015981" cy="717297"/>
        </a:xfrm>
        <a:prstGeom prst="straightConnector1">
          <a:avLst/>
        </a:prstGeom>
        <a:ln w="12700">
          <a:solidFill>
            <a:srgbClr val="FFFFFF">
              <a:alpha val="36000"/>
            </a:srgbClr>
          </a:solidFill>
        </a:ln>
      </xdr:spPr>
    </xdr:cxnSp>
    <xdr:clientData/>
  </xdr:twoCellAnchor>
  <xdr:twoCellAnchor>
    <xdr:from>
      <xdr:col>64</xdr:col>
      <xdr:colOff>16824</xdr:colOff>
      <xdr:row>32</xdr:row>
      <xdr:rowOff>26187</xdr:rowOff>
    </xdr:from>
    <xdr:to>
      <xdr:col>79</xdr:col>
      <xdr:colOff>93</xdr:colOff>
      <xdr:row>32</xdr:row>
      <xdr:rowOff>58054</xdr:rowOff>
    </xdr:to>
    <xdr:cxnSp macro="">
      <xdr:nvCxnSpPr>
        <xdr:cNvPr id="351" name="Line 129"/>
        <xdr:cNvCxnSpPr>
          <a:stCxn id="131" idx="6"/>
          <a:endCxn id="74" idx="2"/>
        </xdr:cNvCxnSpPr>
      </xdr:nvCxnSpPr>
      <xdr:spPr>
        <a:xfrm>
          <a:off x="7446324" y="5931687"/>
          <a:ext cx="2459769" cy="31868"/>
        </a:xfrm>
        <a:prstGeom prst="straightConnector1">
          <a:avLst/>
        </a:prstGeom>
        <a:ln w="12700">
          <a:solidFill>
            <a:srgbClr val="FFFFFF">
              <a:alpha val="36000"/>
            </a:srgbClr>
          </a:solidFill>
        </a:ln>
      </xdr:spPr>
    </xdr:cxnSp>
    <xdr:clientData/>
  </xdr:twoCellAnchor>
  <xdr:twoCellAnchor>
    <xdr:from>
      <xdr:col>64</xdr:col>
      <xdr:colOff>24977</xdr:colOff>
      <xdr:row>19</xdr:row>
      <xdr:rowOff>12200</xdr:rowOff>
    </xdr:from>
    <xdr:to>
      <xdr:col>74</xdr:col>
      <xdr:colOff>107456</xdr:colOff>
      <xdr:row>28</xdr:row>
      <xdr:rowOff>179662</xdr:rowOff>
    </xdr:to>
    <xdr:cxnSp macro="">
      <xdr:nvCxnSpPr>
        <xdr:cNvPr id="352" name="Line 130"/>
        <xdr:cNvCxnSpPr>
          <a:stCxn id="161" idx="5"/>
          <a:endCxn id="77" idx="1"/>
        </xdr:cNvCxnSpPr>
      </xdr:nvCxnSpPr>
      <xdr:spPr>
        <a:xfrm>
          <a:off x="7454477" y="3441200"/>
          <a:ext cx="1733479" cy="1881962"/>
        </a:xfrm>
        <a:prstGeom prst="straightConnector1">
          <a:avLst/>
        </a:prstGeom>
        <a:ln w="12700">
          <a:solidFill>
            <a:srgbClr val="FFFFFF">
              <a:alpha val="36000"/>
            </a:srgbClr>
          </a:solidFill>
        </a:ln>
      </xdr:spPr>
    </xdr:cxnSp>
    <xdr:clientData/>
  </xdr:twoCellAnchor>
  <xdr:twoCellAnchor>
    <xdr:from>
      <xdr:col>79</xdr:col>
      <xdr:colOff>58736</xdr:colOff>
      <xdr:row>37</xdr:row>
      <xdr:rowOff>49333</xdr:rowOff>
    </xdr:from>
    <xdr:to>
      <xdr:col>82</xdr:col>
      <xdr:colOff>24008</xdr:colOff>
      <xdr:row>44</xdr:row>
      <xdr:rowOff>4748</xdr:rowOff>
    </xdr:to>
    <xdr:cxnSp macro="">
      <xdr:nvCxnSpPr>
        <xdr:cNvPr id="353" name="Line 131"/>
        <xdr:cNvCxnSpPr>
          <a:stCxn id="86" idx="0"/>
          <a:endCxn id="80" idx="4"/>
        </xdr:cNvCxnSpPr>
      </xdr:nvCxnSpPr>
      <xdr:spPr>
        <a:xfrm flipV="1">
          <a:off x="9964736" y="6907333"/>
          <a:ext cx="460572" cy="1288914"/>
        </a:xfrm>
        <a:prstGeom prst="straightConnector1">
          <a:avLst/>
        </a:prstGeom>
        <a:ln w="12700">
          <a:solidFill>
            <a:srgbClr val="FFFFFF">
              <a:alpha val="36000"/>
            </a:srgbClr>
          </a:solidFill>
        </a:ln>
      </xdr:spPr>
    </xdr:cxnSp>
    <xdr:clientData/>
  </xdr:twoCellAnchor>
  <xdr:twoCellAnchor>
    <xdr:from>
      <xdr:col>63</xdr:col>
      <xdr:colOff>90898</xdr:colOff>
      <xdr:row>16</xdr:row>
      <xdr:rowOff>29070</xdr:rowOff>
    </xdr:from>
    <xdr:to>
      <xdr:col>73</xdr:col>
      <xdr:colOff>69412</xdr:colOff>
      <xdr:row>31</xdr:row>
      <xdr:rowOff>116790</xdr:rowOff>
    </xdr:to>
    <xdr:cxnSp macro="">
      <xdr:nvCxnSpPr>
        <xdr:cNvPr id="354" name="Line 132"/>
        <xdr:cNvCxnSpPr>
          <a:stCxn id="176" idx="5"/>
          <a:endCxn id="89" idx="1"/>
        </xdr:cNvCxnSpPr>
      </xdr:nvCxnSpPr>
      <xdr:spPr>
        <a:xfrm>
          <a:off x="7355298" y="2886570"/>
          <a:ext cx="1629514" cy="2945220"/>
        </a:xfrm>
        <a:prstGeom prst="straightConnector1">
          <a:avLst/>
        </a:prstGeom>
        <a:ln w="12700">
          <a:solidFill>
            <a:srgbClr val="FFFFFF">
              <a:alpha val="36000"/>
            </a:srgbClr>
          </a:solidFill>
        </a:ln>
      </xdr:spPr>
    </xdr:cxnSp>
    <xdr:clientData/>
  </xdr:twoCellAnchor>
  <xdr:twoCellAnchor>
    <xdr:from>
      <xdr:col>41</xdr:col>
      <xdr:colOff>9644</xdr:colOff>
      <xdr:row>32</xdr:row>
      <xdr:rowOff>144214</xdr:rowOff>
    </xdr:from>
    <xdr:to>
      <xdr:col>46</xdr:col>
      <xdr:colOff>115757</xdr:colOff>
      <xdr:row>40</xdr:row>
      <xdr:rowOff>128751</xdr:rowOff>
    </xdr:to>
    <xdr:cxnSp macro="">
      <xdr:nvCxnSpPr>
        <xdr:cNvPr id="355" name="Line 133"/>
        <xdr:cNvCxnSpPr>
          <a:stCxn id="98" idx="1"/>
          <a:endCxn id="206" idx="5"/>
        </xdr:cNvCxnSpPr>
      </xdr:nvCxnSpPr>
      <xdr:spPr>
        <a:xfrm flipH="1" flipV="1">
          <a:off x="3641844" y="6049714"/>
          <a:ext cx="931613" cy="1508537"/>
        </a:xfrm>
        <a:prstGeom prst="straightConnector1">
          <a:avLst/>
        </a:prstGeom>
        <a:ln w="12700">
          <a:solidFill>
            <a:srgbClr val="FFFFFF">
              <a:alpha val="36000"/>
            </a:srgbClr>
          </a:solidFill>
        </a:ln>
      </xdr:spPr>
    </xdr:cxnSp>
    <xdr:clientData/>
  </xdr:twoCellAnchor>
  <xdr:twoCellAnchor>
    <xdr:from>
      <xdr:col>47</xdr:col>
      <xdr:colOff>24181</xdr:colOff>
      <xdr:row>24</xdr:row>
      <xdr:rowOff>74924</xdr:rowOff>
    </xdr:from>
    <xdr:to>
      <xdr:col>50</xdr:col>
      <xdr:colOff>22907</xdr:colOff>
      <xdr:row>37</xdr:row>
      <xdr:rowOff>134793</xdr:rowOff>
    </xdr:to>
    <xdr:cxnSp macro="">
      <xdr:nvCxnSpPr>
        <xdr:cNvPr id="356" name="Line 134"/>
        <xdr:cNvCxnSpPr>
          <a:stCxn id="101" idx="0"/>
          <a:endCxn id="185" idx="4"/>
        </xdr:cNvCxnSpPr>
      </xdr:nvCxnSpPr>
      <xdr:spPr>
        <a:xfrm flipH="1" flipV="1">
          <a:off x="4646981" y="4456424"/>
          <a:ext cx="494027" cy="2536369"/>
        </a:xfrm>
        <a:prstGeom prst="straightConnector1">
          <a:avLst/>
        </a:prstGeom>
        <a:ln w="12700">
          <a:solidFill>
            <a:srgbClr val="FFFFFF">
              <a:alpha val="36000"/>
            </a:srgbClr>
          </a:solidFill>
        </a:ln>
      </xdr:spPr>
    </xdr:cxnSp>
    <xdr:clientData/>
  </xdr:twoCellAnchor>
  <xdr:twoCellAnchor>
    <xdr:from>
      <xdr:col>57</xdr:col>
      <xdr:colOff>44018</xdr:colOff>
      <xdr:row>20</xdr:row>
      <xdr:rowOff>148290</xdr:rowOff>
    </xdr:from>
    <xdr:to>
      <xdr:col>60</xdr:col>
      <xdr:colOff>90204</xdr:colOff>
      <xdr:row>35</xdr:row>
      <xdr:rowOff>163087</xdr:rowOff>
    </xdr:to>
    <xdr:cxnSp macro="">
      <xdr:nvCxnSpPr>
        <xdr:cNvPr id="357" name="Line 135"/>
        <xdr:cNvCxnSpPr>
          <a:stCxn id="104" idx="0"/>
          <a:endCxn id="158" idx="4"/>
        </xdr:cNvCxnSpPr>
      </xdr:nvCxnSpPr>
      <xdr:spPr>
        <a:xfrm flipV="1">
          <a:off x="6317818" y="3767790"/>
          <a:ext cx="541485" cy="2872296"/>
        </a:xfrm>
        <a:prstGeom prst="straightConnector1">
          <a:avLst/>
        </a:prstGeom>
        <a:ln w="12700">
          <a:solidFill>
            <a:srgbClr val="FFFFFF">
              <a:alpha val="36000"/>
            </a:srgbClr>
          </a:solidFill>
        </a:ln>
      </xdr:spPr>
    </xdr:cxnSp>
    <xdr:clientData/>
  </xdr:twoCellAnchor>
  <xdr:twoCellAnchor>
    <xdr:from>
      <xdr:col>59</xdr:col>
      <xdr:colOff>140300</xdr:colOff>
      <xdr:row>19</xdr:row>
      <xdr:rowOff>12200</xdr:rowOff>
    </xdr:from>
    <xdr:to>
      <xdr:col>64</xdr:col>
      <xdr:colOff>24977</xdr:colOff>
      <xdr:row>27</xdr:row>
      <xdr:rowOff>176080</xdr:rowOff>
    </xdr:to>
    <xdr:cxnSp macro="">
      <xdr:nvCxnSpPr>
        <xdr:cNvPr id="358" name="Line 136"/>
        <xdr:cNvCxnSpPr>
          <a:stCxn id="110" idx="7"/>
          <a:endCxn id="161" idx="3"/>
        </xdr:cNvCxnSpPr>
      </xdr:nvCxnSpPr>
      <xdr:spPr>
        <a:xfrm flipV="1">
          <a:off x="6744300" y="3441200"/>
          <a:ext cx="710177" cy="1687880"/>
        </a:xfrm>
        <a:prstGeom prst="straightConnector1">
          <a:avLst/>
        </a:prstGeom>
        <a:ln w="12700">
          <a:solidFill>
            <a:srgbClr val="FFFFFF">
              <a:alpha val="36000"/>
            </a:srgbClr>
          </a:solidFill>
        </a:ln>
      </xdr:spPr>
    </xdr:cxnSp>
    <xdr:clientData/>
  </xdr:twoCellAnchor>
  <xdr:twoCellAnchor>
    <xdr:from>
      <xdr:col>45</xdr:col>
      <xdr:colOff>70283</xdr:colOff>
      <xdr:row>19</xdr:row>
      <xdr:rowOff>55703</xdr:rowOff>
    </xdr:from>
    <xdr:to>
      <xdr:col>48</xdr:col>
      <xdr:colOff>99736</xdr:colOff>
      <xdr:row>27</xdr:row>
      <xdr:rowOff>39828</xdr:rowOff>
    </xdr:to>
    <xdr:cxnSp macro="">
      <xdr:nvCxnSpPr>
        <xdr:cNvPr id="359" name="Line 137"/>
        <xdr:cNvCxnSpPr>
          <a:stCxn id="113" idx="0"/>
          <a:endCxn id="179" idx="4"/>
        </xdr:cNvCxnSpPr>
      </xdr:nvCxnSpPr>
      <xdr:spPr>
        <a:xfrm flipV="1">
          <a:off x="4362883" y="3484703"/>
          <a:ext cx="524753" cy="1508125"/>
        </a:xfrm>
        <a:prstGeom prst="straightConnector1">
          <a:avLst/>
        </a:prstGeom>
        <a:ln w="12700">
          <a:solidFill>
            <a:srgbClr val="FFFFFF">
              <a:alpha val="36000"/>
            </a:srgbClr>
          </a:solidFill>
        </a:ln>
      </xdr:spPr>
    </xdr:cxnSp>
    <xdr:clientData/>
  </xdr:twoCellAnchor>
  <xdr:twoCellAnchor>
    <xdr:from>
      <xdr:col>51</xdr:col>
      <xdr:colOff>152152</xdr:colOff>
      <xdr:row>24</xdr:row>
      <xdr:rowOff>139078</xdr:rowOff>
    </xdr:from>
    <xdr:to>
      <xdr:col>52</xdr:col>
      <xdr:colOff>126393</xdr:colOff>
      <xdr:row>40</xdr:row>
      <xdr:rowOff>39543</xdr:rowOff>
    </xdr:to>
    <xdr:cxnSp macro="">
      <xdr:nvCxnSpPr>
        <xdr:cNvPr id="360" name="Line 138"/>
        <xdr:cNvCxnSpPr>
          <a:stCxn id="116" idx="0"/>
          <a:endCxn id="170" idx="4"/>
        </xdr:cNvCxnSpPr>
      </xdr:nvCxnSpPr>
      <xdr:spPr>
        <a:xfrm flipH="1" flipV="1">
          <a:off x="5435352" y="4520578"/>
          <a:ext cx="139341" cy="2948465"/>
        </a:xfrm>
        <a:prstGeom prst="straightConnector1">
          <a:avLst/>
        </a:prstGeom>
        <a:ln w="12700">
          <a:solidFill>
            <a:srgbClr val="FFFFFF">
              <a:alpha val="36000"/>
            </a:srgbClr>
          </a:solidFill>
        </a:ln>
      </xdr:spPr>
    </xdr:cxnSp>
    <xdr:clientData/>
  </xdr:twoCellAnchor>
  <xdr:twoCellAnchor>
    <xdr:from>
      <xdr:col>41</xdr:col>
      <xdr:colOff>57894</xdr:colOff>
      <xdr:row>24</xdr:row>
      <xdr:rowOff>139078</xdr:rowOff>
    </xdr:from>
    <xdr:to>
      <xdr:col>51</xdr:col>
      <xdr:colOff>152152</xdr:colOff>
      <xdr:row>29</xdr:row>
      <xdr:rowOff>177552</xdr:rowOff>
    </xdr:to>
    <xdr:cxnSp macro="">
      <xdr:nvCxnSpPr>
        <xdr:cNvPr id="361" name="Line 139"/>
        <xdr:cNvCxnSpPr>
          <a:stCxn id="119" idx="7"/>
          <a:endCxn id="170" idx="3"/>
        </xdr:cNvCxnSpPr>
      </xdr:nvCxnSpPr>
      <xdr:spPr>
        <a:xfrm flipV="1">
          <a:off x="3690094" y="4520578"/>
          <a:ext cx="1745258" cy="990974"/>
        </a:xfrm>
        <a:prstGeom prst="straightConnector1">
          <a:avLst/>
        </a:prstGeom>
        <a:ln w="12700">
          <a:solidFill>
            <a:srgbClr val="FFFFFF">
              <a:alpha val="36000"/>
            </a:srgbClr>
          </a:solidFill>
        </a:ln>
      </xdr:spPr>
    </xdr:cxnSp>
    <xdr:clientData/>
  </xdr:twoCellAnchor>
  <xdr:twoCellAnchor>
    <xdr:from>
      <xdr:col>37</xdr:col>
      <xdr:colOff>50506</xdr:colOff>
      <xdr:row>33</xdr:row>
      <xdr:rowOff>22852</xdr:rowOff>
    </xdr:from>
    <xdr:to>
      <xdr:col>47</xdr:col>
      <xdr:colOff>115853</xdr:colOff>
      <xdr:row>35</xdr:row>
      <xdr:rowOff>5572</xdr:rowOff>
    </xdr:to>
    <xdr:cxnSp macro="">
      <xdr:nvCxnSpPr>
        <xdr:cNvPr id="362" name="Line 140"/>
        <xdr:cNvCxnSpPr>
          <a:stCxn id="122" idx="2"/>
          <a:endCxn id="203" idx="6"/>
        </xdr:cNvCxnSpPr>
      </xdr:nvCxnSpPr>
      <xdr:spPr>
        <a:xfrm flipH="1" flipV="1">
          <a:off x="3022306" y="6118852"/>
          <a:ext cx="1716347" cy="363721"/>
        </a:xfrm>
        <a:prstGeom prst="straightConnector1">
          <a:avLst/>
        </a:prstGeom>
        <a:ln w="12700">
          <a:solidFill>
            <a:srgbClr val="FFFFFF">
              <a:alpha val="36000"/>
            </a:srgbClr>
          </a:solidFill>
        </a:ln>
      </xdr:spPr>
    </xdr:cxnSp>
    <xdr:clientData/>
  </xdr:twoCellAnchor>
  <xdr:twoCellAnchor>
    <xdr:from>
      <xdr:col>38</xdr:col>
      <xdr:colOff>1072</xdr:colOff>
      <xdr:row>21</xdr:row>
      <xdr:rowOff>132482</xdr:rowOff>
    </xdr:from>
    <xdr:to>
      <xdr:col>44</xdr:col>
      <xdr:colOff>25657</xdr:colOff>
      <xdr:row>38</xdr:row>
      <xdr:rowOff>37868</xdr:rowOff>
    </xdr:to>
    <xdr:cxnSp macro="">
      <xdr:nvCxnSpPr>
        <xdr:cNvPr id="363" name="Line 141"/>
        <xdr:cNvCxnSpPr>
          <a:stCxn id="125" idx="0"/>
          <a:endCxn id="197" idx="4"/>
        </xdr:cNvCxnSpPr>
      </xdr:nvCxnSpPr>
      <xdr:spPr>
        <a:xfrm flipH="1" flipV="1">
          <a:off x="3137972" y="3942482"/>
          <a:ext cx="1015185" cy="3143886"/>
        </a:xfrm>
        <a:prstGeom prst="straightConnector1">
          <a:avLst/>
        </a:prstGeom>
        <a:ln w="12700">
          <a:solidFill>
            <a:srgbClr val="FFFFFF">
              <a:alpha val="36000"/>
            </a:srgbClr>
          </a:solidFill>
        </a:ln>
      </xdr:spPr>
    </xdr:cxnSp>
    <xdr:clientData/>
  </xdr:twoCellAnchor>
  <xdr:twoCellAnchor>
    <xdr:from>
      <xdr:col>37</xdr:col>
      <xdr:colOff>50506</xdr:colOff>
      <xdr:row>33</xdr:row>
      <xdr:rowOff>22852</xdr:rowOff>
    </xdr:from>
    <xdr:to>
      <xdr:col>44</xdr:col>
      <xdr:colOff>25657</xdr:colOff>
      <xdr:row>38</xdr:row>
      <xdr:rowOff>37868</xdr:rowOff>
    </xdr:to>
    <xdr:cxnSp macro="">
      <xdr:nvCxnSpPr>
        <xdr:cNvPr id="364" name="Line 142"/>
        <xdr:cNvCxnSpPr>
          <a:stCxn id="125" idx="1"/>
          <a:endCxn id="203" idx="5"/>
        </xdr:cNvCxnSpPr>
      </xdr:nvCxnSpPr>
      <xdr:spPr>
        <a:xfrm flipH="1" flipV="1">
          <a:off x="3022306" y="6118852"/>
          <a:ext cx="1130851" cy="967517"/>
        </a:xfrm>
        <a:prstGeom prst="straightConnector1">
          <a:avLst/>
        </a:prstGeom>
        <a:ln w="12700">
          <a:solidFill>
            <a:srgbClr val="FFFFFF">
              <a:alpha val="36000"/>
            </a:srgbClr>
          </a:solidFill>
        </a:ln>
      </xdr:spPr>
    </xdr:cxnSp>
    <xdr:clientData/>
  </xdr:twoCellAnchor>
  <xdr:twoCellAnchor>
    <xdr:from>
      <xdr:col>63</xdr:col>
      <xdr:colOff>143792</xdr:colOff>
      <xdr:row>36</xdr:row>
      <xdr:rowOff>18412</xdr:rowOff>
    </xdr:from>
    <xdr:to>
      <xdr:col>65</xdr:col>
      <xdr:colOff>99558</xdr:colOff>
      <xdr:row>38</xdr:row>
      <xdr:rowOff>179372</xdr:rowOff>
    </xdr:to>
    <xdr:cxnSp macro="">
      <xdr:nvCxnSpPr>
        <xdr:cNvPr id="365" name="Line 143"/>
        <xdr:cNvCxnSpPr>
          <a:stCxn id="128" idx="1"/>
          <a:endCxn id="146" idx="5"/>
        </xdr:cNvCxnSpPr>
      </xdr:nvCxnSpPr>
      <xdr:spPr>
        <a:xfrm flipH="1" flipV="1">
          <a:off x="7408192" y="6685912"/>
          <a:ext cx="285966" cy="541960"/>
        </a:xfrm>
        <a:prstGeom prst="straightConnector1">
          <a:avLst/>
        </a:prstGeom>
        <a:ln w="12700">
          <a:solidFill>
            <a:srgbClr val="FFFFFF">
              <a:alpha val="36000"/>
            </a:srgbClr>
          </a:solidFill>
        </a:ln>
      </xdr:spPr>
    </xdr:cxnSp>
    <xdr:clientData/>
  </xdr:twoCellAnchor>
  <xdr:twoCellAnchor>
    <xdr:from>
      <xdr:col>63</xdr:col>
      <xdr:colOff>143792</xdr:colOff>
      <xdr:row>32</xdr:row>
      <xdr:rowOff>26187</xdr:rowOff>
    </xdr:from>
    <xdr:to>
      <xdr:col>64</xdr:col>
      <xdr:colOff>16824</xdr:colOff>
      <xdr:row>36</xdr:row>
      <xdr:rowOff>18412</xdr:rowOff>
    </xdr:to>
    <xdr:cxnSp macro="">
      <xdr:nvCxnSpPr>
        <xdr:cNvPr id="366" name="Line 144"/>
        <xdr:cNvCxnSpPr>
          <a:stCxn id="131" idx="4"/>
          <a:endCxn id="146" idx="0"/>
        </xdr:cNvCxnSpPr>
      </xdr:nvCxnSpPr>
      <xdr:spPr>
        <a:xfrm flipH="1">
          <a:off x="7408192" y="5931687"/>
          <a:ext cx="38132" cy="754225"/>
        </a:xfrm>
        <a:prstGeom prst="straightConnector1">
          <a:avLst/>
        </a:prstGeom>
        <a:ln w="12700">
          <a:solidFill>
            <a:srgbClr val="FFFFFF">
              <a:alpha val="36000"/>
            </a:srgbClr>
          </a:solidFill>
        </a:ln>
      </xdr:spPr>
    </xdr:cxnSp>
    <xdr:clientData/>
  </xdr:twoCellAnchor>
  <xdr:twoCellAnchor>
    <xdr:from>
      <xdr:col>62</xdr:col>
      <xdr:colOff>19406</xdr:colOff>
      <xdr:row>30</xdr:row>
      <xdr:rowOff>35709</xdr:rowOff>
    </xdr:from>
    <xdr:to>
      <xdr:col>63</xdr:col>
      <xdr:colOff>143792</xdr:colOff>
      <xdr:row>36</xdr:row>
      <xdr:rowOff>18412</xdr:rowOff>
    </xdr:to>
    <xdr:cxnSp macro="">
      <xdr:nvCxnSpPr>
        <xdr:cNvPr id="367" name="Line 145"/>
        <xdr:cNvCxnSpPr>
          <a:stCxn id="137" idx="4"/>
          <a:endCxn id="146" idx="0"/>
        </xdr:cNvCxnSpPr>
      </xdr:nvCxnSpPr>
      <xdr:spPr>
        <a:xfrm>
          <a:off x="7118706" y="5560209"/>
          <a:ext cx="289486" cy="1125703"/>
        </a:xfrm>
        <a:prstGeom prst="straightConnector1">
          <a:avLst/>
        </a:prstGeom>
        <a:ln w="12700">
          <a:solidFill>
            <a:srgbClr val="FFFFFF">
              <a:alpha val="36000"/>
            </a:srgbClr>
          </a:solidFill>
        </a:ln>
      </xdr:spPr>
    </xdr:cxnSp>
    <xdr:clientData/>
  </xdr:twoCellAnchor>
  <xdr:twoCellAnchor>
    <xdr:from>
      <xdr:col>58</xdr:col>
      <xdr:colOff>25217</xdr:colOff>
      <xdr:row>36</xdr:row>
      <xdr:rowOff>18412</xdr:rowOff>
    </xdr:from>
    <xdr:to>
      <xdr:col>63</xdr:col>
      <xdr:colOff>143792</xdr:colOff>
      <xdr:row>40</xdr:row>
      <xdr:rowOff>123735</xdr:rowOff>
    </xdr:to>
    <xdr:cxnSp macro="">
      <xdr:nvCxnSpPr>
        <xdr:cNvPr id="368" name="Line 146"/>
        <xdr:cNvCxnSpPr>
          <a:stCxn id="140" idx="7"/>
          <a:endCxn id="146" idx="3"/>
        </xdr:cNvCxnSpPr>
      </xdr:nvCxnSpPr>
      <xdr:spPr>
        <a:xfrm flipV="1">
          <a:off x="6464117" y="6685912"/>
          <a:ext cx="944075" cy="867324"/>
        </a:xfrm>
        <a:prstGeom prst="straightConnector1">
          <a:avLst/>
        </a:prstGeom>
        <a:ln w="12700">
          <a:solidFill>
            <a:srgbClr val="FFFFFF">
              <a:alpha val="36000"/>
            </a:srgbClr>
          </a:solidFill>
        </a:ln>
      </xdr:spPr>
    </xdr:cxnSp>
    <xdr:clientData/>
  </xdr:twoCellAnchor>
  <xdr:twoCellAnchor>
    <xdr:from>
      <xdr:col>63</xdr:col>
      <xdr:colOff>143792</xdr:colOff>
      <xdr:row>34</xdr:row>
      <xdr:rowOff>8887</xdr:rowOff>
    </xdr:from>
    <xdr:to>
      <xdr:col>67</xdr:col>
      <xdr:colOff>76844</xdr:colOff>
      <xdr:row>36</xdr:row>
      <xdr:rowOff>18412</xdr:rowOff>
    </xdr:to>
    <xdr:cxnSp macro="">
      <xdr:nvCxnSpPr>
        <xdr:cNvPr id="369" name="Line 147"/>
        <xdr:cNvCxnSpPr>
          <a:stCxn id="143" idx="3"/>
          <a:endCxn id="146" idx="7"/>
        </xdr:cNvCxnSpPr>
      </xdr:nvCxnSpPr>
      <xdr:spPr>
        <a:xfrm flipH="1">
          <a:off x="7408192" y="6295387"/>
          <a:ext cx="593452" cy="390525"/>
        </a:xfrm>
        <a:prstGeom prst="straightConnector1">
          <a:avLst/>
        </a:prstGeom>
        <a:ln w="12700">
          <a:solidFill>
            <a:srgbClr val="FFFFFF">
              <a:alpha val="36000"/>
            </a:srgbClr>
          </a:solidFill>
        </a:ln>
      </xdr:spPr>
    </xdr:cxnSp>
    <xdr:clientData/>
  </xdr:twoCellAnchor>
  <xdr:twoCellAnchor>
    <xdr:from>
      <xdr:col>44</xdr:col>
      <xdr:colOff>147933</xdr:colOff>
      <xdr:row>24</xdr:row>
      <xdr:rowOff>74924</xdr:rowOff>
    </xdr:from>
    <xdr:to>
      <xdr:col>47</xdr:col>
      <xdr:colOff>24181</xdr:colOff>
      <xdr:row>33</xdr:row>
      <xdr:rowOff>148791</xdr:rowOff>
    </xdr:to>
    <xdr:cxnSp macro="">
      <xdr:nvCxnSpPr>
        <xdr:cNvPr id="370" name="Line 148"/>
        <xdr:cNvCxnSpPr>
          <a:stCxn id="149" idx="0"/>
          <a:endCxn id="185" idx="4"/>
        </xdr:cNvCxnSpPr>
      </xdr:nvCxnSpPr>
      <xdr:spPr>
        <a:xfrm flipV="1">
          <a:off x="4275433" y="4456424"/>
          <a:ext cx="371548" cy="1788367"/>
        </a:xfrm>
        <a:prstGeom prst="straightConnector1">
          <a:avLst/>
        </a:prstGeom>
        <a:ln w="12700">
          <a:solidFill>
            <a:srgbClr val="FFFFFF">
              <a:alpha val="36000"/>
            </a:srgbClr>
          </a:solidFill>
        </a:ln>
      </xdr:spPr>
    </xdr:cxnSp>
    <xdr:clientData/>
  </xdr:twoCellAnchor>
  <xdr:twoCellAnchor>
    <xdr:from>
      <xdr:col>51</xdr:col>
      <xdr:colOff>84684</xdr:colOff>
      <xdr:row>16</xdr:row>
      <xdr:rowOff>90171</xdr:rowOff>
    </xdr:from>
    <xdr:to>
      <xdr:col>56</xdr:col>
      <xdr:colOff>114625</xdr:colOff>
      <xdr:row>25</xdr:row>
      <xdr:rowOff>87627</xdr:rowOff>
    </xdr:to>
    <xdr:cxnSp macro="">
      <xdr:nvCxnSpPr>
        <xdr:cNvPr id="371" name="Line 149"/>
        <xdr:cNvCxnSpPr>
          <a:stCxn id="155" idx="1"/>
          <a:endCxn id="188" idx="5"/>
        </xdr:cNvCxnSpPr>
      </xdr:nvCxnSpPr>
      <xdr:spPr>
        <a:xfrm flipH="1" flipV="1">
          <a:off x="5367884" y="2947671"/>
          <a:ext cx="855442" cy="1711956"/>
        </a:xfrm>
        <a:prstGeom prst="straightConnector1">
          <a:avLst/>
        </a:prstGeom>
        <a:ln w="12700">
          <a:solidFill>
            <a:srgbClr val="FFFFFF">
              <a:alpha val="36000"/>
            </a:srgbClr>
          </a:solidFill>
        </a:ln>
      </xdr:spPr>
    </xdr:cxnSp>
    <xdr:clientData/>
  </xdr:twoCellAnchor>
  <xdr:twoCellAnchor>
    <xdr:from>
      <xdr:col>54</xdr:col>
      <xdr:colOff>113757</xdr:colOff>
      <xdr:row>12</xdr:row>
      <xdr:rowOff>127189</xdr:rowOff>
    </xdr:from>
    <xdr:to>
      <xdr:col>60</xdr:col>
      <xdr:colOff>90204</xdr:colOff>
      <xdr:row>20</xdr:row>
      <xdr:rowOff>148290</xdr:rowOff>
    </xdr:to>
    <xdr:cxnSp macro="">
      <xdr:nvCxnSpPr>
        <xdr:cNvPr id="372" name="Line 150"/>
        <xdr:cNvCxnSpPr>
          <a:stCxn id="158" idx="1"/>
          <a:endCxn id="173" idx="5"/>
        </xdr:cNvCxnSpPr>
      </xdr:nvCxnSpPr>
      <xdr:spPr>
        <a:xfrm flipH="1" flipV="1">
          <a:off x="5892257" y="2222689"/>
          <a:ext cx="967047" cy="1545102"/>
        </a:xfrm>
        <a:prstGeom prst="straightConnector1">
          <a:avLst/>
        </a:prstGeom>
        <a:ln w="12700">
          <a:solidFill>
            <a:srgbClr val="FFFFFF">
              <a:alpha val="36000"/>
            </a:srgbClr>
          </a:solidFill>
        </a:ln>
      </xdr:spPr>
    </xdr:cxnSp>
    <xdr:clientData/>
  </xdr:twoCellAnchor>
  <xdr:twoCellAnchor>
    <xdr:from>
      <xdr:col>60</xdr:col>
      <xdr:colOff>90204</xdr:colOff>
      <xdr:row>12</xdr:row>
      <xdr:rowOff>116633</xdr:rowOff>
    </xdr:from>
    <xdr:to>
      <xdr:col>62</xdr:col>
      <xdr:colOff>12452</xdr:colOff>
      <xdr:row>20</xdr:row>
      <xdr:rowOff>148290</xdr:rowOff>
    </xdr:to>
    <xdr:cxnSp macro="">
      <xdr:nvCxnSpPr>
        <xdr:cNvPr id="373" name="Line 151"/>
        <xdr:cNvCxnSpPr>
          <a:stCxn id="182" idx="4"/>
          <a:endCxn id="158" idx="0"/>
        </xdr:cNvCxnSpPr>
      </xdr:nvCxnSpPr>
      <xdr:spPr>
        <a:xfrm flipH="1">
          <a:off x="6859304" y="2212133"/>
          <a:ext cx="252449" cy="1555657"/>
        </a:xfrm>
        <a:prstGeom prst="straightConnector1">
          <a:avLst/>
        </a:prstGeom>
        <a:ln w="12700">
          <a:solidFill>
            <a:srgbClr val="FFFFFF">
              <a:alpha val="36000"/>
            </a:srgbClr>
          </a:solidFill>
        </a:ln>
      </xdr:spPr>
    </xdr:cxnSp>
    <xdr:clientData/>
  </xdr:twoCellAnchor>
  <xdr:twoCellAnchor>
    <xdr:from>
      <xdr:col>51</xdr:col>
      <xdr:colOff>37706</xdr:colOff>
      <xdr:row>12</xdr:row>
      <xdr:rowOff>182376</xdr:rowOff>
    </xdr:from>
    <xdr:to>
      <xdr:col>64</xdr:col>
      <xdr:colOff>24977</xdr:colOff>
      <xdr:row>19</xdr:row>
      <xdr:rowOff>12200</xdr:rowOff>
    </xdr:to>
    <xdr:cxnSp macro="">
      <xdr:nvCxnSpPr>
        <xdr:cNvPr id="374" name="Line 152"/>
        <xdr:cNvCxnSpPr>
          <a:stCxn id="161" idx="1"/>
          <a:endCxn id="164" idx="5"/>
        </xdr:cNvCxnSpPr>
      </xdr:nvCxnSpPr>
      <xdr:spPr>
        <a:xfrm flipH="1" flipV="1">
          <a:off x="5320906" y="2277876"/>
          <a:ext cx="2133571" cy="1163324"/>
        </a:xfrm>
        <a:prstGeom prst="straightConnector1">
          <a:avLst/>
        </a:prstGeom>
        <a:ln w="12700">
          <a:solidFill>
            <a:srgbClr val="FFFFFF">
              <a:alpha val="36000"/>
            </a:srgbClr>
          </a:solidFill>
        </a:ln>
      </xdr:spPr>
    </xdr:cxnSp>
    <xdr:clientData/>
  </xdr:twoCellAnchor>
  <xdr:twoCellAnchor>
    <xdr:from>
      <xdr:col>51</xdr:col>
      <xdr:colOff>37706</xdr:colOff>
      <xdr:row>12</xdr:row>
      <xdr:rowOff>182376</xdr:rowOff>
    </xdr:from>
    <xdr:to>
      <xdr:col>58</xdr:col>
      <xdr:colOff>33156</xdr:colOff>
      <xdr:row>14</xdr:row>
      <xdr:rowOff>71421</xdr:rowOff>
    </xdr:to>
    <xdr:cxnSp macro="">
      <xdr:nvCxnSpPr>
        <xdr:cNvPr id="375" name="Line 153"/>
        <xdr:cNvCxnSpPr>
          <a:stCxn id="167" idx="2"/>
          <a:endCxn id="164" idx="6"/>
        </xdr:cNvCxnSpPr>
      </xdr:nvCxnSpPr>
      <xdr:spPr>
        <a:xfrm flipH="1" flipV="1">
          <a:off x="5320906" y="2277876"/>
          <a:ext cx="1151150" cy="270045"/>
        </a:xfrm>
        <a:prstGeom prst="straightConnector1">
          <a:avLst/>
        </a:prstGeom>
        <a:ln w="12700">
          <a:solidFill>
            <a:srgbClr val="FFFFFF">
              <a:alpha val="36000"/>
            </a:srgbClr>
          </a:solidFill>
        </a:ln>
      </xdr:spPr>
    </xdr:cxnSp>
    <xdr:clientData/>
  </xdr:twoCellAnchor>
  <xdr:twoCellAnchor>
    <xdr:from>
      <xdr:col>51</xdr:col>
      <xdr:colOff>37706</xdr:colOff>
      <xdr:row>12</xdr:row>
      <xdr:rowOff>182376</xdr:rowOff>
    </xdr:from>
    <xdr:to>
      <xdr:col>63</xdr:col>
      <xdr:colOff>90898</xdr:colOff>
      <xdr:row>16</xdr:row>
      <xdr:rowOff>29070</xdr:rowOff>
    </xdr:to>
    <xdr:cxnSp macro="">
      <xdr:nvCxnSpPr>
        <xdr:cNvPr id="376" name="Line 154"/>
        <xdr:cNvCxnSpPr>
          <a:stCxn id="164" idx="6"/>
          <a:endCxn id="176" idx="2"/>
        </xdr:cNvCxnSpPr>
      </xdr:nvCxnSpPr>
      <xdr:spPr>
        <a:xfrm>
          <a:off x="5320906" y="2277876"/>
          <a:ext cx="2034392" cy="608694"/>
        </a:xfrm>
        <a:prstGeom prst="straightConnector1">
          <a:avLst/>
        </a:prstGeom>
        <a:ln w="12700">
          <a:solidFill>
            <a:srgbClr val="FFFFFF">
              <a:alpha val="36000"/>
            </a:srgbClr>
          </a:solidFill>
        </a:ln>
      </xdr:spPr>
    </xdr:cxnSp>
    <xdr:clientData/>
  </xdr:twoCellAnchor>
  <xdr:twoCellAnchor>
    <xdr:from>
      <xdr:col>51</xdr:col>
      <xdr:colOff>37706</xdr:colOff>
      <xdr:row>12</xdr:row>
      <xdr:rowOff>182376</xdr:rowOff>
    </xdr:from>
    <xdr:to>
      <xdr:col>51</xdr:col>
      <xdr:colOff>84684</xdr:colOff>
      <xdr:row>16</xdr:row>
      <xdr:rowOff>90171</xdr:rowOff>
    </xdr:to>
    <xdr:cxnSp macro="">
      <xdr:nvCxnSpPr>
        <xdr:cNvPr id="377" name="Line 155"/>
        <xdr:cNvCxnSpPr>
          <a:stCxn id="164" idx="4"/>
          <a:endCxn id="188" idx="0"/>
        </xdr:cNvCxnSpPr>
      </xdr:nvCxnSpPr>
      <xdr:spPr>
        <a:xfrm>
          <a:off x="5320906" y="2277876"/>
          <a:ext cx="46978" cy="669795"/>
        </a:xfrm>
        <a:prstGeom prst="straightConnector1">
          <a:avLst/>
        </a:prstGeom>
        <a:ln w="12700">
          <a:solidFill>
            <a:srgbClr val="FFFFFF">
              <a:alpha val="36000"/>
            </a:srgbClr>
          </a:solidFill>
        </a:ln>
      </xdr:spPr>
    </xdr:cxnSp>
    <xdr:clientData/>
  </xdr:twoCellAnchor>
  <xdr:twoCellAnchor>
    <xdr:from>
      <xdr:col>54</xdr:col>
      <xdr:colOff>113757</xdr:colOff>
      <xdr:row>12</xdr:row>
      <xdr:rowOff>127189</xdr:rowOff>
    </xdr:from>
    <xdr:to>
      <xdr:col>58</xdr:col>
      <xdr:colOff>33156</xdr:colOff>
      <xdr:row>14</xdr:row>
      <xdr:rowOff>71421</xdr:rowOff>
    </xdr:to>
    <xdr:cxnSp macro="">
      <xdr:nvCxnSpPr>
        <xdr:cNvPr id="378" name="Line 156"/>
        <xdr:cNvCxnSpPr>
          <a:stCxn id="173" idx="5"/>
          <a:endCxn id="167" idx="1"/>
        </xdr:cNvCxnSpPr>
      </xdr:nvCxnSpPr>
      <xdr:spPr>
        <a:xfrm>
          <a:off x="5892257" y="2222689"/>
          <a:ext cx="579799" cy="325232"/>
        </a:xfrm>
        <a:prstGeom prst="straightConnector1">
          <a:avLst/>
        </a:prstGeom>
        <a:ln w="12700">
          <a:solidFill>
            <a:srgbClr val="FFFFFF">
              <a:alpha val="36000"/>
            </a:srgbClr>
          </a:solidFill>
        </a:ln>
      </xdr:spPr>
    </xdr:cxnSp>
    <xdr:clientData/>
  </xdr:twoCellAnchor>
  <xdr:twoCellAnchor>
    <xdr:from>
      <xdr:col>56</xdr:col>
      <xdr:colOff>107903</xdr:colOff>
      <xdr:row>14</xdr:row>
      <xdr:rowOff>71421</xdr:rowOff>
    </xdr:from>
    <xdr:to>
      <xdr:col>58</xdr:col>
      <xdr:colOff>33156</xdr:colOff>
      <xdr:row>21</xdr:row>
      <xdr:rowOff>35437</xdr:rowOff>
    </xdr:to>
    <xdr:cxnSp macro="">
      <xdr:nvCxnSpPr>
        <xdr:cNvPr id="379" name="Line 157"/>
        <xdr:cNvCxnSpPr>
          <a:stCxn id="191" idx="0"/>
          <a:endCxn id="167" idx="4"/>
        </xdr:cNvCxnSpPr>
      </xdr:nvCxnSpPr>
      <xdr:spPr>
        <a:xfrm flipV="1">
          <a:off x="6216603" y="2547921"/>
          <a:ext cx="255453" cy="1297516"/>
        </a:xfrm>
        <a:prstGeom prst="straightConnector1">
          <a:avLst/>
        </a:prstGeom>
        <a:ln w="12700">
          <a:solidFill>
            <a:srgbClr val="FFFFFF">
              <a:alpha val="36000"/>
            </a:srgbClr>
          </a:solidFill>
        </a:ln>
      </xdr:spPr>
    </xdr:cxnSp>
    <xdr:clientData/>
  </xdr:twoCellAnchor>
  <xdr:twoCellAnchor>
    <xdr:from>
      <xdr:col>51</xdr:col>
      <xdr:colOff>152152</xdr:colOff>
      <xdr:row>21</xdr:row>
      <xdr:rowOff>35437</xdr:rowOff>
    </xdr:from>
    <xdr:to>
      <xdr:col>56</xdr:col>
      <xdr:colOff>107903</xdr:colOff>
      <xdr:row>24</xdr:row>
      <xdr:rowOff>139078</xdr:rowOff>
    </xdr:to>
    <xdr:cxnSp macro="">
      <xdr:nvCxnSpPr>
        <xdr:cNvPr id="380" name="Line 158"/>
        <xdr:cNvCxnSpPr>
          <a:stCxn id="170" idx="7"/>
          <a:endCxn id="191" idx="3"/>
        </xdr:cNvCxnSpPr>
      </xdr:nvCxnSpPr>
      <xdr:spPr>
        <a:xfrm flipV="1">
          <a:off x="5435352" y="3845437"/>
          <a:ext cx="781251" cy="675141"/>
        </a:xfrm>
        <a:prstGeom prst="straightConnector1">
          <a:avLst/>
        </a:prstGeom>
        <a:ln w="12700">
          <a:solidFill>
            <a:srgbClr val="FFFFFF">
              <a:alpha val="36000"/>
            </a:srgbClr>
          </a:solidFill>
        </a:ln>
      </xdr:spPr>
    </xdr:cxnSp>
    <xdr:clientData/>
  </xdr:twoCellAnchor>
  <xdr:twoCellAnchor>
    <xdr:from>
      <xdr:col>54</xdr:col>
      <xdr:colOff>113757</xdr:colOff>
      <xdr:row>12</xdr:row>
      <xdr:rowOff>116633</xdr:rowOff>
    </xdr:from>
    <xdr:to>
      <xdr:col>62</xdr:col>
      <xdr:colOff>12452</xdr:colOff>
      <xdr:row>12</xdr:row>
      <xdr:rowOff>127189</xdr:rowOff>
    </xdr:to>
    <xdr:cxnSp macro="">
      <xdr:nvCxnSpPr>
        <xdr:cNvPr id="381" name="Line 159"/>
        <xdr:cNvCxnSpPr>
          <a:stCxn id="182" idx="2"/>
          <a:endCxn id="173" idx="6"/>
        </xdr:cNvCxnSpPr>
      </xdr:nvCxnSpPr>
      <xdr:spPr>
        <a:xfrm flipH="1">
          <a:off x="5892257" y="2212133"/>
          <a:ext cx="1219495" cy="10555"/>
        </a:xfrm>
        <a:prstGeom prst="straightConnector1">
          <a:avLst/>
        </a:prstGeom>
        <a:ln w="12700">
          <a:solidFill>
            <a:srgbClr val="FFFFFF">
              <a:alpha val="36000"/>
            </a:srgbClr>
          </a:solidFill>
        </a:ln>
      </xdr:spPr>
    </xdr:cxnSp>
    <xdr:clientData/>
  </xdr:twoCellAnchor>
  <xdr:twoCellAnchor>
    <xdr:from>
      <xdr:col>51</xdr:col>
      <xdr:colOff>84684</xdr:colOff>
      <xdr:row>16</xdr:row>
      <xdr:rowOff>29070</xdr:rowOff>
    </xdr:from>
    <xdr:to>
      <xdr:col>63</xdr:col>
      <xdr:colOff>90898</xdr:colOff>
      <xdr:row>16</xdr:row>
      <xdr:rowOff>90171</xdr:rowOff>
    </xdr:to>
    <xdr:cxnSp macro="">
      <xdr:nvCxnSpPr>
        <xdr:cNvPr id="382" name="Line 160"/>
        <xdr:cNvCxnSpPr>
          <a:stCxn id="188" idx="6"/>
          <a:endCxn id="176" idx="2"/>
        </xdr:cNvCxnSpPr>
      </xdr:nvCxnSpPr>
      <xdr:spPr>
        <a:xfrm flipV="1">
          <a:off x="5367884" y="2886570"/>
          <a:ext cx="1987414" cy="61101"/>
        </a:xfrm>
        <a:prstGeom prst="straightConnector1">
          <a:avLst/>
        </a:prstGeom>
        <a:ln w="12700">
          <a:solidFill>
            <a:srgbClr val="FFFFFF">
              <a:alpha val="36000"/>
            </a:srgbClr>
          </a:solidFill>
        </a:ln>
      </xdr:spPr>
    </xdr:cxnSp>
    <xdr:clientData/>
  </xdr:twoCellAnchor>
  <xdr:twoCellAnchor>
    <xdr:from>
      <xdr:col>41</xdr:col>
      <xdr:colOff>11487</xdr:colOff>
      <xdr:row>12</xdr:row>
      <xdr:rowOff>116633</xdr:rowOff>
    </xdr:from>
    <xdr:to>
      <xdr:col>62</xdr:col>
      <xdr:colOff>12452</xdr:colOff>
      <xdr:row>18</xdr:row>
      <xdr:rowOff>142007</xdr:rowOff>
    </xdr:to>
    <xdr:cxnSp macro="">
      <xdr:nvCxnSpPr>
        <xdr:cNvPr id="383" name="Line 161"/>
        <xdr:cNvCxnSpPr>
          <a:stCxn id="200" idx="6"/>
          <a:endCxn id="182" idx="2"/>
        </xdr:cNvCxnSpPr>
      </xdr:nvCxnSpPr>
      <xdr:spPr>
        <a:xfrm flipV="1">
          <a:off x="3643687" y="2212133"/>
          <a:ext cx="3468066" cy="1168374"/>
        </a:xfrm>
        <a:prstGeom prst="straightConnector1">
          <a:avLst/>
        </a:prstGeom>
        <a:ln w="12700">
          <a:solidFill>
            <a:srgbClr val="FFFFFF">
              <a:alpha val="36000"/>
            </a:srgbClr>
          </a:solidFill>
        </a:ln>
      </xdr:spPr>
    </xdr:cxnSp>
    <xdr:clientData/>
  </xdr:twoCellAnchor>
  <xdr:twoCellAnchor>
    <xdr:from>
      <xdr:col>47</xdr:col>
      <xdr:colOff>24181</xdr:colOff>
      <xdr:row>21</xdr:row>
      <xdr:rowOff>35437</xdr:rowOff>
    </xdr:from>
    <xdr:to>
      <xdr:col>56</xdr:col>
      <xdr:colOff>107903</xdr:colOff>
      <xdr:row>24</xdr:row>
      <xdr:rowOff>74924</xdr:rowOff>
    </xdr:to>
    <xdr:cxnSp macro="">
      <xdr:nvCxnSpPr>
        <xdr:cNvPr id="384" name="Line 162"/>
        <xdr:cNvCxnSpPr>
          <a:stCxn id="185" idx="6"/>
          <a:endCxn id="191" idx="2"/>
        </xdr:cNvCxnSpPr>
      </xdr:nvCxnSpPr>
      <xdr:spPr>
        <a:xfrm flipV="1">
          <a:off x="4646981" y="3845437"/>
          <a:ext cx="1569622" cy="610987"/>
        </a:xfrm>
        <a:prstGeom prst="straightConnector1">
          <a:avLst/>
        </a:prstGeom>
        <a:ln w="12700">
          <a:solidFill>
            <a:srgbClr val="FFFFFF">
              <a:alpha val="36000"/>
            </a:srgbClr>
          </a:solidFill>
        </a:ln>
      </xdr:spPr>
    </xdr:cxnSp>
    <xdr:clientData/>
  </xdr:twoCellAnchor>
  <xdr:twoCellAnchor>
    <xdr:from>
      <xdr:col>41</xdr:col>
      <xdr:colOff>9644</xdr:colOff>
      <xdr:row>24</xdr:row>
      <xdr:rowOff>74924</xdr:rowOff>
    </xdr:from>
    <xdr:to>
      <xdr:col>47</xdr:col>
      <xdr:colOff>24181</xdr:colOff>
      <xdr:row>32</xdr:row>
      <xdr:rowOff>144214</xdr:rowOff>
    </xdr:to>
    <xdr:cxnSp macro="">
      <xdr:nvCxnSpPr>
        <xdr:cNvPr id="385" name="Line 163"/>
        <xdr:cNvCxnSpPr>
          <a:stCxn id="206" idx="7"/>
          <a:endCxn id="185" idx="3"/>
        </xdr:cNvCxnSpPr>
      </xdr:nvCxnSpPr>
      <xdr:spPr>
        <a:xfrm flipV="1">
          <a:off x="3641844" y="4456424"/>
          <a:ext cx="1005137" cy="1593291"/>
        </a:xfrm>
        <a:prstGeom prst="straightConnector1">
          <a:avLst/>
        </a:prstGeom>
        <a:ln w="12700">
          <a:solidFill>
            <a:srgbClr val="FFFFFF">
              <a:alpha val="36000"/>
            </a:srgbClr>
          </a:solidFill>
        </a:ln>
      </xdr:spPr>
    </xdr:cxnSp>
    <xdr:clientData/>
  </xdr:twoCellAnchor>
  <xdr:twoCellAnchor>
    <xdr:from>
      <xdr:col>32</xdr:col>
      <xdr:colOff>114533</xdr:colOff>
      <xdr:row>21</xdr:row>
      <xdr:rowOff>105480</xdr:rowOff>
    </xdr:from>
    <xdr:to>
      <xdr:col>38</xdr:col>
      <xdr:colOff>1072</xdr:colOff>
      <xdr:row>21</xdr:row>
      <xdr:rowOff>132482</xdr:rowOff>
    </xdr:to>
    <xdr:cxnSp macro="">
      <xdr:nvCxnSpPr>
        <xdr:cNvPr id="386" name="Line 164"/>
        <xdr:cNvCxnSpPr>
          <a:stCxn id="194" idx="6"/>
          <a:endCxn id="197" idx="2"/>
        </xdr:cNvCxnSpPr>
      </xdr:nvCxnSpPr>
      <xdr:spPr>
        <a:xfrm>
          <a:off x="2260833" y="3915480"/>
          <a:ext cx="877140" cy="27003"/>
        </a:xfrm>
        <a:prstGeom prst="straightConnector1">
          <a:avLst/>
        </a:prstGeom>
        <a:ln w="12700">
          <a:solidFill>
            <a:srgbClr val="FFFFFF">
              <a:alpha val="36000"/>
            </a:srgbClr>
          </a:solidFill>
        </a:ln>
      </xdr:spPr>
    </xdr:cxnSp>
    <xdr:clientData/>
  </xdr:twoCellAnchor>
  <xdr:twoCellAnchor>
    <xdr:from>
      <xdr:col>32</xdr:col>
      <xdr:colOff>114533</xdr:colOff>
      <xdr:row>18</xdr:row>
      <xdr:rowOff>142007</xdr:rowOff>
    </xdr:from>
    <xdr:to>
      <xdr:col>41</xdr:col>
      <xdr:colOff>11487</xdr:colOff>
      <xdr:row>21</xdr:row>
      <xdr:rowOff>105480</xdr:rowOff>
    </xdr:to>
    <xdr:cxnSp macro="">
      <xdr:nvCxnSpPr>
        <xdr:cNvPr id="387" name="Line 165"/>
        <xdr:cNvCxnSpPr>
          <a:stCxn id="194" idx="6"/>
          <a:endCxn id="200" idx="2"/>
        </xdr:cNvCxnSpPr>
      </xdr:nvCxnSpPr>
      <xdr:spPr>
        <a:xfrm flipV="1">
          <a:off x="2260833" y="3380507"/>
          <a:ext cx="1382854" cy="534972"/>
        </a:xfrm>
        <a:prstGeom prst="straightConnector1">
          <a:avLst/>
        </a:prstGeom>
        <a:ln w="12700">
          <a:solidFill>
            <a:srgbClr val="FFFFFF">
              <a:alpha val="36000"/>
            </a:srgbClr>
          </a:solidFill>
        </a:ln>
      </xdr:spPr>
    </xdr:cxnSp>
    <xdr:clientData/>
  </xdr:twoCellAnchor>
  <xdr:twoCellAnchor>
    <xdr:from>
      <xdr:col>32</xdr:col>
      <xdr:colOff>114533</xdr:colOff>
      <xdr:row>21</xdr:row>
      <xdr:rowOff>105480</xdr:rowOff>
    </xdr:from>
    <xdr:to>
      <xdr:col>37</xdr:col>
      <xdr:colOff>50506</xdr:colOff>
      <xdr:row>33</xdr:row>
      <xdr:rowOff>22852</xdr:rowOff>
    </xdr:to>
    <xdr:cxnSp macro="">
      <xdr:nvCxnSpPr>
        <xdr:cNvPr id="388" name="Line 166"/>
        <xdr:cNvCxnSpPr>
          <a:stCxn id="194" idx="4"/>
          <a:endCxn id="203" idx="0"/>
        </xdr:cNvCxnSpPr>
      </xdr:nvCxnSpPr>
      <xdr:spPr>
        <a:xfrm>
          <a:off x="2260833" y="3915480"/>
          <a:ext cx="761473" cy="2203372"/>
        </a:xfrm>
        <a:prstGeom prst="straightConnector1">
          <a:avLst/>
        </a:prstGeom>
        <a:ln w="12700">
          <a:solidFill>
            <a:srgbClr val="FFFFFF">
              <a:alpha val="36000"/>
            </a:srgbClr>
          </a:solidFill>
        </a:ln>
      </xdr:spPr>
    </xdr:cxnSp>
    <xdr:clientData/>
  </xdr:twoCellAnchor>
  <xdr:twoCellAnchor>
    <xdr:from>
      <xdr:col>38</xdr:col>
      <xdr:colOff>1072</xdr:colOff>
      <xdr:row>18</xdr:row>
      <xdr:rowOff>142007</xdr:rowOff>
    </xdr:from>
    <xdr:to>
      <xdr:col>41</xdr:col>
      <xdr:colOff>11487</xdr:colOff>
      <xdr:row>21</xdr:row>
      <xdr:rowOff>132482</xdr:rowOff>
    </xdr:to>
    <xdr:cxnSp macro="">
      <xdr:nvCxnSpPr>
        <xdr:cNvPr id="389" name="Line 167"/>
        <xdr:cNvCxnSpPr>
          <a:stCxn id="197" idx="7"/>
          <a:endCxn id="200" idx="3"/>
        </xdr:cNvCxnSpPr>
      </xdr:nvCxnSpPr>
      <xdr:spPr>
        <a:xfrm flipV="1">
          <a:off x="3137972" y="3380507"/>
          <a:ext cx="505714" cy="561975"/>
        </a:xfrm>
        <a:prstGeom prst="straightConnector1">
          <a:avLst/>
        </a:prstGeom>
        <a:ln w="12700">
          <a:solidFill>
            <a:srgbClr val="FFFFFF">
              <a:alpha val="36000"/>
            </a:srgbClr>
          </a:solidFill>
        </a:ln>
      </xdr:spPr>
    </xdr:cxnSp>
    <xdr:clientData/>
  </xdr:twoCellAnchor>
  <xdr:twoCellAnchor>
    <xdr:from>
      <xdr:col>37</xdr:col>
      <xdr:colOff>50506</xdr:colOff>
      <xdr:row>18</xdr:row>
      <xdr:rowOff>142007</xdr:rowOff>
    </xdr:from>
    <xdr:to>
      <xdr:col>41</xdr:col>
      <xdr:colOff>11487</xdr:colOff>
      <xdr:row>33</xdr:row>
      <xdr:rowOff>22852</xdr:rowOff>
    </xdr:to>
    <xdr:cxnSp macro="">
      <xdr:nvCxnSpPr>
        <xdr:cNvPr id="390" name="Line 168"/>
        <xdr:cNvCxnSpPr>
          <a:stCxn id="203" idx="0"/>
          <a:endCxn id="200" idx="4"/>
        </xdr:cNvCxnSpPr>
      </xdr:nvCxnSpPr>
      <xdr:spPr>
        <a:xfrm flipV="1">
          <a:off x="3022306" y="3380507"/>
          <a:ext cx="621381" cy="2738344"/>
        </a:xfrm>
        <a:prstGeom prst="straightConnector1">
          <a:avLst/>
        </a:prstGeom>
        <a:ln w="12700">
          <a:solidFill>
            <a:srgbClr val="FFFFFF">
              <a:alpha val="36000"/>
            </a:srgbClr>
          </a:solidFill>
        </a:ln>
      </xdr:spPr>
    </xdr:cxnSp>
    <xdr:clientData/>
  </xdr:twoCellAnchor>
  <xdr:twoCellAnchor>
    <xdr:from>
      <xdr:col>37</xdr:col>
      <xdr:colOff>50506</xdr:colOff>
      <xdr:row>32</xdr:row>
      <xdr:rowOff>144214</xdr:rowOff>
    </xdr:from>
    <xdr:to>
      <xdr:col>41</xdr:col>
      <xdr:colOff>9644</xdr:colOff>
      <xdr:row>33</xdr:row>
      <xdr:rowOff>22852</xdr:rowOff>
    </xdr:to>
    <xdr:cxnSp macro="">
      <xdr:nvCxnSpPr>
        <xdr:cNvPr id="391" name="Line 169"/>
        <xdr:cNvCxnSpPr>
          <a:stCxn id="203" idx="6"/>
          <a:endCxn id="206" idx="2"/>
        </xdr:cNvCxnSpPr>
      </xdr:nvCxnSpPr>
      <xdr:spPr>
        <a:xfrm flipV="1">
          <a:off x="3022306" y="6049714"/>
          <a:ext cx="619538" cy="69137"/>
        </a:xfrm>
        <a:prstGeom prst="straightConnector1">
          <a:avLst/>
        </a:prstGeom>
        <a:ln w="12700">
          <a:solidFill>
            <a:srgbClr val="FFFFFF">
              <a:alpha val="36000"/>
            </a:srgbClr>
          </a:solidFill>
        </a:ln>
      </xdr:spPr>
    </xdr:cxnSp>
    <xdr:clientData/>
  </xdr:twoCellAnchor>
  <xdr:twoCellAnchor>
    <xdr:from>
      <xdr:col>73</xdr:col>
      <xdr:colOff>142958</xdr:colOff>
      <xdr:row>23</xdr:row>
      <xdr:rowOff>6779</xdr:rowOff>
    </xdr:from>
    <xdr:to>
      <xdr:col>79</xdr:col>
      <xdr:colOff>87203</xdr:colOff>
      <xdr:row>36</xdr:row>
      <xdr:rowOff>128754</xdr:rowOff>
    </xdr:to>
    <xdr:cxnSp macro="">
      <xdr:nvCxnSpPr>
        <xdr:cNvPr id="392" name="Line 170"/>
        <xdr:cNvCxnSpPr>
          <a:stCxn id="11" idx="0"/>
          <a:endCxn id="8" idx="4"/>
        </xdr:cNvCxnSpPr>
      </xdr:nvCxnSpPr>
      <xdr:spPr>
        <a:xfrm flipV="1">
          <a:off x="9058358" y="4197779"/>
          <a:ext cx="934845" cy="2598475"/>
        </a:xfrm>
        <a:prstGeom prst="straightConnector1">
          <a:avLst/>
        </a:prstGeom>
        <a:ln w="12700">
          <a:solidFill>
            <a:srgbClr val="FFFFFF">
              <a:alpha val="36000"/>
            </a:srgbClr>
          </a:solidFill>
        </a:ln>
      </xdr:spPr>
    </xdr:cxnSp>
    <xdr:clientData/>
  </xdr:twoCellAnchor>
  <xdr:twoCellAnchor>
    <xdr:from>
      <xdr:col>58</xdr:col>
      <xdr:colOff>59027</xdr:colOff>
      <xdr:row>23</xdr:row>
      <xdr:rowOff>6779</xdr:rowOff>
    </xdr:from>
    <xdr:to>
      <xdr:col>79</xdr:col>
      <xdr:colOff>87203</xdr:colOff>
      <xdr:row>33</xdr:row>
      <xdr:rowOff>115831</xdr:rowOff>
    </xdr:to>
    <xdr:cxnSp macro="">
      <xdr:nvCxnSpPr>
        <xdr:cNvPr id="393" name="Line 171"/>
        <xdr:cNvCxnSpPr>
          <a:stCxn id="14" idx="7"/>
          <a:endCxn id="8" idx="3"/>
        </xdr:cNvCxnSpPr>
      </xdr:nvCxnSpPr>
      <xdr:spPr>
        <a:xfrm flipV="1">
          <a:off x="6497927" y="4197779"/>
          <a:ext cx="3495276" cy="2014052"/>
        </a:xfrm>
        <a:prstGeom prst="straightConnector1">
          <a:avLst/>
        </a:prstGeom>
        <a:ln w="12700">
          <a:solidFill>
            <a:srgbClr val="FFFFFF">
              <a:alpha val="36000"/>
            </a:srgbClr>
          </a:solidFill>
        </a:ln>
      </xdr:spPr>
    </xdr:cxnSp>
    <xdr:clientData/>
  </xdr:twoCellAnchor>
  <xdr:twoCellAnchor>
    <xdr:from>
      <xdr:col>56</xdr:col>
      <xdr:colOff>9697</xdr:colOff>
      <xdr:row>18</xdr:row>
      <xdr:rowOff>130687</xdr:rowOff>
    </xdr:from>
    <xdr:to>
      <xdr:col>79</xdr:col>
      <xdr:colOff>87203</xdr:colOff>
      <xdr:row>23</xdr:row>
      <xdr:rowOff>6779</xdr:rowOff>
    </xdr:to>
    <xdr:cxnSp macro="">
      <xdr:nvCxnSpPr>
        <xdr:cNvPr id="394" name="Line 172"/>
        <xdr:cNvCxnSpPr>
          <a:stCxn id="8" idx="2"/>
          <a:endCxn id="17" idx="6"/>
        </xdr:cNvCxnSpPr>
      </xdr:nvCxnSpPr>
      <xdr:spPr>
        <a:xfrm flipH="1" flipV="1">
          <a:off x="6118397" y="3369187"/>
          <a:ext cx="3874806" cy="828592"/>
        </a:xfrm>
        <a:prstGeom prst="straightConnector1">
          <a:avLst/>
        </a:prstGeom>
        <a:ln w="12700">
          <a:solidFill>
            <a:srgbClr val="FFFFFF">
              <a:alpha val="36000"/>
            </a:srgbClr>
          </a:solidFill>
        </a:ln>
      </xdr:spPr>
    </xdr:cxnSp>
    <xdr:clientData/>
  </xdr:twoCellAnchor>
  <xdr:twoCellAnchor>
    <xdr:from>
      <xdr:col>58</xdr:col>
      <xdr:colOff>59027</xdr:colOff>
      <xdr:row>33</xdr:row>
      <xdr:rowOff>115831</xdr:rowOff>
    </xdr:from>
    <xdr:to>
      <xdr:col>73</xdr:col>
      <xdr:colOff>142958</xdr:colOff>
      <xdr:row>36</xdr:row>
      <xdr:rowOff>128754</xdr:rowOff>
    </xdr:to>
    <xdr:cxnSp macro="">
      <xdr:nvCxnSpPr>
        <xdr:cNvPr id="395" name="Line 173"/>
        <xdr:cNvCxnSpPr>
          <a:stCxn id="14" idx="6"/>
          <a:endCxn id="11" idx="2"/>
        </xdr:cNvCxnSpPr>
      </xdr:nvCxnSpPr>
      <xdr:spPr>
        <a:xfrm>
          <a:off x="6497927" y="6211831"/>
          <a:ext cx="2560431" cy="584423"/>
        </a:xfrm>
        <a:prstGeom prst="straightConnector1">
          <a:avLst/>
        </a:prstGeom>
        <a:ln w="12700">
          <a:solidFill>
            <a:srgbClr val="FFFFFF">
              <a:alpha val="36000"/>
            </a:srgbClr>
          </a:solidFill>
        </a:ln>
      </xdr:spPr>
    </xdr:cxnSp>
    <xdr:clientData/>
  </xdr:twoCellAnchor>
  <xdr:twoCellAnchor>
    <xdr:from>
      <xdr:col>56</xdr:col>
      <xdr:colOff>9697</xdr:colOff>
      <xdr:row>18</xdr:row>
      <xdr:rowOff>130687</xdr:rowOff>
    </xdr:from>
    <xdr:to>
      <xdr:col>73</xdr:col>
      <xdr:colOff>142958</xdr:colOff>
      <xdr:row>36</xdr:row>
      <xdr:rowOff>128754</xdr:rowOff>
    </xdr:to>
    <xdr:cxnSp macro="">
      <xdr:nvCxnSpPr>
        <xdr:cNvPr id="396" name="Line 174"/>
        <xdr:cNvCxnSpPr>
          <a:stCxn id="17" idx="5"/>
          <a:endCxn id="11" idx="1"/>
        </xdr:cNvCxnSpPr>
      </xdr:nvCxnSpPr>
      <xdr:spPr>
        <a:xfrm>
          <a:off x="6118397" y="3369187"/>
          <a:ext cx="2939962" cy="3427067"/>
        </a:xfrm>
        <a:prstGeom prst="straightConnector1">
          <a:avLst/>
        </a:prstGeom>
        <a:ln w="12700">
          <a:solidFill>
            <a:srgbClr val="FFFFFF">
              <a:alpha val="36000"/>
            </a:srgbClr>
          </a:solidFill>
        </a:ln>
      </xdr:spPr>
    </xdr:cxnSp>
    <xdr:clientData/>
  </xdr:twoCellAnchor>
  <xdr:twoCellAnchor>
    <xdr:from>
      <xdr:col>56</xdr:col>
      <xdr:colOff>9697</xdr:colOff>
      <xdr:row>18</xdr:row>
      <xdr:rowOff>130687</xdr:rowOff>
    </xdr:from>
    <xdr:to>
      <xdr:col>58</xdr:col>
      <xdr:colOff>59027</xdr:colOff>
      <xdr:row>33</xdr:row>
      <xdr:rowOff>115831</xdr:rowOff>
    </xdr:to>
    <xdr:cxnSp macro="">
      <xdr:nvCxnSpPr>
        <xdr:cNvPr id="397" name="Line 175"/>
        <xdr:cNvCxnSpPr>
          <a:stCxn id="17" idx="4"/>
          <a:endCxn id="14" idx="0"/>
        </xdr:cNvCxnSpPr>
      </xdr:nvCxnSpPr>
      <xdr:spPr>
        <a:xfrm>
          <a:off x="6118397" y="3369187"/>
          <a:ext cx="379530" cy="2842644"/>
        </a:xfrm>
        <a:prstGeom prst="straightConnector1">
          <a:avLst/>
        </a:prstGeom>
        <a:ln w="12700">
          <a:solidFill>
            <a:srgbClr val="FFFFFF">
              <a:alpha val="36000"/>
            </a:srgbClr>
          </a:solidFill>
        </a:ln>
      </xdr:spPr>
    </xdr:cxnSp>
    <xdr:clientData/>
  </xdr:twoCellAnchor>
  <xdr:twoCellAnchor>
    <xdr:from>
      <xdr:col>42</xdr:col>
      <xdr:colOff>109315</xdr:colOff>
      <xdr:row>24</xdr:row>
      <xdr:rowOff>162330</xdr:rowOff>
    </xdr:from>
    <xdr:to>
      <xdr:col>58</xdr:col>
      <xdr:colOff>59027</xdr:colOff>
      <xdr:row>33</xdr:row>
      <xdr:rowOff>115831</xdr:rowOff>
    </xdr:to>
    <xdr:cxnSp macro="">
      <xdr:nvCxnSpPr>
        <xdr:cNvPr id="398" name="Line 176"/>
        <xdr:cNvCxnSpPr>
          <a:stCxn id="20" idx="5"/>
          <a:endCxn id="14" idx="1"/>
        </xdr:cNvCxnSpPr>
      </xdr:nvCxnSpPr>
      <xdr:spPr>
        <a:xfrm>
          <a:off x="3906615" y="4543830"/>
          <a:ext cx="2591312" cy="1668001"/>
        </a:xfrm>
        <a:prstGeom prst="straightConnector1">
          <a:avLst/>
        </a:prstGeom>
        <a:ln w="12700">
          <a:solidFill>
            <a:srgbClr val="FFFFFF">
              <a:alpha val="36000"/>
            </a:srgbClr>
          </a:solidFill>
        </a:ln>
      </xdr:spPr>
    </xdr:cxnSp>
    <xdr:clientData/>
  </xdr:twoCellAnchor>
  <xdr:twoCellAnchor>
    <xdr:from>
      <xdr:col>42</xdr:col>
      <xdr:colOff>109315</xdr:colOff>
      <xdr:row>18</xdr:row>
      <xdr:rowOff>130687</xdr:rowOff>
    </xdr:from>
    <xdr:to>
      <xdr:col>56</xdr:col>
      <xdr:colOff>9697</xdr:colOff>
      <xdr:row>24</xdr:row>
      <xdr:rowOff>162330</xdr:rowOff>
    </xdr:to>
    <xdr:cxnSp macro="">
      <xdr:nvCxnSpPr>
        <xdr:cNvPr id="399" name="Line 177"/>
        <xdr:cNvCxnSpPr>
          <a:stCxn id="20" idx="7"/>
          <a:endCxn id="17" idx="3"/>
        </xdr:cNvCxnSpPr>
      </xdr:nvCxnSpPr>
      <xdr:spPr>
        <a:xfrm flipV="1">
          <a:off x="3906615" y="3369187"/>
          <a:ext cx="2211781" cy="1174644"/>
        </a:xfrm>
        <a:prstGeom prst="straightConnector1">
          <a:avLst/>
        </a:prstGeom>
        <a:ln w="12700">
          <a:solidFill>
            <a:srgbClr val="FFFFFF">
              <a:alpha val="36000"/>
            </a:srgbClr>
          </a:solidFill>
        </a:ln>
      </xdr:spPr>
    </xdr:cxnSp>
    <xdr:clientData/>
  </xdr:twoCellAnchor>
  <xdr:oneCellAnchor>
    <xdr:from>
      <xdr:col>63</xdr:col>
      <xdr:colOff>32762</xdr:colOff>
      <xdr:row>24</xdr:row>
      <xdr:rowOff>11890</xdr:rowOff>
    </xdr:from>
    <xdr:ext cx="342900" cy="533400"/>
    <xdr:grpSp>
      <xdr:nvGrpSpPr>
        <xdr:cNvPr id="4" name="Node 1: finance_model.xlsx"/>
        <xdr:cNvGrpSpPr/>
      </xdr:nvGrpSpPr>
      <xdr:grpSpPr>
        <a:xfrm>
          <a:off x="7297162" y="4393390"/>
          <a:ext cx="342900" cy="533400"/>
          <a:chOff x="7297162" y="4393390"/>
          <a:chExt cx="342900" cy="533400"/>
        </a:xfrm>
      </xdr:grpSpPr>
      <xdr:sp macro="" textlink="">
        <xdr:nvSpPr>
          <xdr:cNvPr id="5" name="Dot 1: finance_model.xlsx" descr="Financial model"/>
          <xdr:cNvSpPr/>
        </xdr:nvSpPr>
        <xdr:spPr>
          <a:xfrm>
            <a:off x="7297162" y="4393390"/>
            <a:ext cx="342900" cy="342900"/>
          </a:xfrm>
          <a:prstGeom prst="ellipse">
            <a:avLst/>
          </a:prstGeom>
          <a:solidFill>
            <a:srgbClr val="F2F1EC"/>
          </a:solidFill>
          <a:ln w="15875">
            <a:solidFill>
              <a:srgbClr val="121211"/>
            </a:solidFill>
          </a:ln>
        </xdr:spPr>
      </xdr:sp>
      <xdr:sp macro="" textlink="">
        <xdr:nvSpPr>
          <xdr:cNvPr id="6" name="Name 1"/>
          <xdr:cNvSpPr txBox="1"/>
        </xdr:nvSpPr>
        <xdr:spPr>
          <a:xfrm>
            <a:off x="7297162" y="4755340"/>
            <a:ext cx="342900" cy="171450"/>
          </a:xfrm>
          <a:prstGeom prst="rect">
            <a:avLst/>
          </a:prstGeom>
          <a:noFill/>
          <a:ln>
            <a:noFill/>
          </a:ln>
        </xdr:spPr>
        <xdr:txBody>
          <a:bodyPr wrap="none" lIns="0" tIns="0" rIns="0" bIns="0" anchor="t" rtlCol="0" vertOverflow="overflow" horzOverflow="overflow">
            <a:noAutofit/>
          </a:bodyPr>
          <a:lstStyle/>
          <a:p>
            <a:pPr algn="ctr"/>
            <a:r>
              <a:rPr lang="en-US" sz="1100" b="1" dirty="0">
                <a:solidFill>
                  <a:srgbClr val="E6E4DE"/>
                </a:solidFill>
                <a:effectLst>
                  <a:glow rad="38100">
                    <a:srgbClr val="121211">
                      <a:alpha val="85000"/>
                    </a:srgbClr>
                  </a:glow>
                </a:effectLst>
                <a:latin typeface="Calibri"/>
                <a:cs typeface="Calibri"/>
              </a:rPr>
              <a:t>finance_model.xlsx</a:t>
            </a:r>
          </a:p>
        </xdr:txBody>
      </xdr:sp>
    </xdr:grpSp>
    <xdr:clientData/>
  </xdr:oneCellAnchor>
  <xdr:oneCellAnchor>
    <xdr:from>
      <xdr:col>79</xdr:col>
      <xdr:colOff>6240</xdr:colOff>
      <xdr:row>22</xdr:row>
      <xdr:rowOff>116317</xdr:rowOff>
    </xdr:from>
    <xdr:ext cx="161925" cy="304800"/>
    <xdr:grpSp>
      <xdr:nvGrpSpPr>
        <xdr:cNvPr id="7" name="Node 2: Balance Sheet"/>
        <xdr:cNvGrpSpPr/>
      </xdr:nvGrpSpPr>
      <xdr:grpSpPr>
        <a:xfrm>
          <a:off x="9912240" y="4116817"/>
          <a:ext cx="161925" cy="304800"/>
          <a:chOff x="9912240" y="4116817"/>
          <a:chExt cx="161925" cy="304800"/>
        </a:xfrm>
      </xdr:grpSpPr>
      <xdr:sp macro="" textlink="">
        <xdr:nvSpPr>
          <xdr:cNvPr id="8" name="Dot 2: Balance Sheet" descr="Balance Sheet has 7 data rows, 395 formulas, calculated from other tabs."/>
          <xdr:cNvSpPr/>
        </xdr:nvSpPr>
        <xdr:spPr>
          <a:xfrm>
            <a:off x="9912240" y="4116817"/>
            <a:ext cx="161925" cy="161925"/>
          </a:xfrm>
          <a:prstGeom prst="ellipse">
            <a:avLst/>
          </a:prstGeom>
          <a:solidFill>
            <a:srgbClr val="8C8F96"/>
          </a:solidFill>
          <a:ln w="15875">
            <a:solidFill>
              <a:srgbClr val="121211"/>
            </a:solidFill>
          </a:ln>
        </xdr:spPr>
      </xdr:sp>
      <xdr:sp macro="" textlink="">
        <xdr:nvSpPr>
          <xdr:cNvPr id="9" name="Name 2"/>
          <xdr:cNvSpPr txBox="1"/>
        </xdr:nvSpPr>
        <xdr:spPr>
          <a:xfrm>
            <a:off x="9912240" y="4297792"/>
            <a:ext cx="161925" cy="123825"/>
          </a:xfrm>
          <a:prstGeom prst="rect">
            <a:avLst/>
          </a:prstGeom>
          <a:noFill/>
          <a:ln>
            <a:noFill/>
          </a:ln>
        </xdr:spPr>
        <xdr:txBody>
          <a:bodyPr wrap="none" lIns="0" tIns="0" rIns="0" bIns="0" anchor="t" rtlCol="0" vertOverflow="overflow" horzOverflow="overflow">
            <a:noAutofit/>
          </a:bodyPr>
          <a:lstStyle/>
          <a:p>
            <a:pPr algn="ctr"/>
            <a:r>
              <a:rPr lang="en-US" sz="800" dirty="0">
                <a:solidFill>
                  <a:srgbClr val="9C9A93"/>
                </a:solidFill>
                <a:effectLst>
                  <a:glow rad="38100">
                    <a:srgbClr val="121211">
                      <a:alpha val="85000"/>
                    </a:srgbClr>
                  </a:glow>
                </a:effectLst>
                <a:latin typeface="Calibri"/>
                <a:cs typeface="Calibri"/>
              </a:rPr>
              <a:t>Balance Sheet</a:t>
            </a:r>
          </a:p>
        </xdr:txBody>
      </xdr:sp>
    </xdr:grpSp>
    <xdr:clientData/>
  </xdr:oneCellAnchor>
  <xdr:oneCellAnchor>
    <xdr:from>
      <xdr:col>73</xdr:col>
      <xdr:colOff>61996</xdr:colOff>
      <xdr:row>36</xdr:row>
      <xdr:rowOff>47792</xdr:rowOff>
    </xdr:from>
    <xdr:ext cx="161925" cy="304800"/>
    <xdr:grpSp>
      <xdr:nvGrpSpPr>
        <xdr:cNvPr id="10" name="Node 3: Cash Flow"/>
        <xdr:cNvGrpSpPr/>
      </xdr:nvGrpSpPr>
      <xdr:grpSpPr>
        <a:xfrm>
          <a:off x="8977396" y="6715292"/>
          <a:ext cx="161925" cy="304800"/>
          <a:chOff x="8977396" y="6715292"/>
          <a:chExt cx="161925" cy="304800"/>
        </a:xfrm>
      </xdr:grpSpPr>
      <xdr:sp macro="" textlink="">
        <xdr:nvSpPr>
          <xdr:cNvPr id="11" name="Dot 3: Cash Flow" descr="Cash Flow has 12 data rows, 396 formulas, calculated from other tabs."/>
          <xdr:cNvSpPr/>
        </xdr:nvSpPr>
        <xdr:spPr>
          <a:xfrm>
            <a:off x="8977396" y="6715292"/>
            <a:ext cx="161925" cy="161925"/>
          </a:xfrm>
          <a:prstGeom prst="ellipse">
            <a:avLst/>
          </a:prstGeom>
          <a:solidFill>
            <a:srgbClr val="8C8F96"/>
          </a:solidFill>
          <a:ln w="15875">
            <a:solidFill>
              <a:srgbClr val="121211"/>
            </a:solidFill>
          </a:ln>
        </xdr:spPr>
      </xdr:sp>
      <xdr:sp macro="" textlink="">
        <xdr:nvSpPr>
          <xdr:cNvPr id="12" name="Name 3"/>
          <xdr:cNvSpPr txBox="1"/>
        </xdr:nvSpPr>
        <xdr:spPr>
          <a:xfrm>
            <a:off x="8977396" y="6896267"/>
            <a:ext cx="161925" cy="123825"/>
          </a:xfrm>
          <a:prstGeom prst="rect">
            <a:avLst/>
          </a:prstGeom>
          <a:noFill/>
          <a:ln>
            <a:noFill/>
          </a:ln>
        </xdr:spPr>
        <xdr:txBody>
          <a:bodyPr wrap="none" lIns="0" tIns="0" rIns="0" bIns="0" anchor="t" rtlCol="0" vertOverflow="overflow" horzOverflow="overflow">
            <a:noAutofit/>
          </a:bodyPr>
          <a:lstStyle/>
          <a:p>
            <a:pPr algn="ctr"/>
            <a:r>
              <a:rPr lang="en-US" sz="800" dirty="0">
                <a:solidFill>
                  <a:srgbClr val="9C9A93"/>
                </a:solidFill>
                <a:effectLst>
                  <a:glow rad="38100">
                    <a:srgbClr val="121211">
                      <a:alpha val="85000"/>
                    </a:srgbClr>
                  </a:glow>
                </a:effectLst>
                <a:latin typeface="Calibri"/>
                <a:cs typeface="Calibri"/>
              </a:rPr>
              <a:t>Cash Flow</a:t>
            </a:r>
          </a:p>
        </xdr:txBody>
      </xdr:sp>
    </xdr:grpSp>
    <xdr:clientData/>
  </xdr:oneCellAnchor>
  <xdr:oneCellAnchor>
    <xdr:from>
      <xdr:col>57</xdr:col>
      <xdr:colOff>143164</xdr:colOff>
      <xdr:row>33</xdr:row>
      <xdr:rowOff>34868</xdr:rowOff>
    </xdr:from>
    <xdr:ext cx="161925" cy="304800"/>
    <xdr:grpSp>
      <xdr:nvGrpSpPr>
        <xdr:cNvPr id="13" name="Node 4: Inputs"/>
        <xdr:cNvGrpSpPr/>
      </xdr:nvGrpSpPr>
      <xdr:grpSpPr>
        <a:xfrm>
          <a:off x="6416964" y="6130868"/>
          <a:ext cx="161925" cy="304800"/>
          <a:chOff x="6416964" y="6130868"/>
          <a:chExt cx="161925" cy="304800"/>
        </a:xfrm>
      </xdr:grpSpPr>
      <xdr:sp macro="" textlink="">
        <xdr:nvSpPr>
          <xdr:cNvPr id="14" name="Dot 4: Inputs" descr="Inputs has 24 data rows, 2 tables, 1 formulas."/>
          <xdr:cNvSpPr/>
        </xdr:nvSpPr>
        <xdr:spPr>
          <a:xfrm>
            <a:off x="6416964" y="6130868"/>
            <a:ext cx="161925" cy="161925"/>
          </a:xfrm>
          <a:prstGeom prst="ellipse">
            <a:avLst/>
          </a:prstGeom>
          <a:solidFill>
            <a:srgbClr val="8C8F96"/>
          </a:solidFill>
          <a:ln w="15875">
            <a:solidFill>
              <a:srgbClr val="121211"/>
            </a:solidFill>
          </a:ln>
        </xdr:spPr>
      </xdr:sp>
      <xdr:sp macro="" textlink="">
        <xdr:nvSpPr>
          <xdr:cNvPr id="15" name="Name 4"/>
          <xdr:cNvSpPr txBox="1"/>
        </xdr:nvSpPr>
        <xdr:spPr>
          <a:xfrm>
            <a:off x="6416964" y="6311843"/>
            <a:ext cx="161925" cy="123825"/>
          </a:xfrm>
          <a:prstGeom prst="rect">
            <a:avLst/>
          </a:prstGeom>
          <a:noFill/>
          <a:ln>
            <a:noFill/>
          </a:ln>
        </xdr:spPr>
        <xdr:txBody>
          <a:bodyPr wrap="none" lIns="0" tIns="0" rIns="0" bIns="0" anchor="t" rtlCol="0" vertOverflow="overflow" horzOverflow="overflow">
            <a:noAutofit/>
          </a:bodyPr>
          <a:lstStyle/>
          <a:p>
            <a:pPr algn="ctr"/>
            <a:r>
              <a:rPr lang="en-US" sz="800" dirty="0">
                <a:solidFill>
                  <a:srgbClr val="9C9A93"/>
                </a:solidFill>
                <a:effectLst>
                  <a:glow rad="38100">
                    <a:srgbClr val="121211">
                      <a:alpha val="85000"/>
                    </a:srgbClr>
                  </a:glow>
                </a:effectLst>
                <a:latin typeface="Calibri"/>
                <a:cs typeface="Calibri"/>
              </a:rPr>
              <a:t>Inputs</a:t>
            </a:r>
          </a:p>
        </xdr:txBody>
      </xdr:sp>
    </xdr:grpSp>
    <xdr:clientData/>
  </xdr:oneCellAnchor>
  <xdr:oneCellAnchor>
    <xdr:from>
      <xdr:col>55</xdr:col>
      <xdr:colOff>93834</xdr:colOff>
      <xdr:row>18</xdr:row>
      <xdr:rowOff>49724</xdr:rowOff>
    </xdr:from>
    <xdr:ext cx="161925" cy="304800"/>
    <xdr:grpSp>
      <xdr:nvGrpSpPr>
        <xdr:cNvPr id="16" name="Node 5: P&amp;L"/>
        <xdr:cNvGrpSpPr/>
      </xdr:nvGrpSpPr>
      <xdr:grpSpPr>
        <a:xfrm>
          <a:off x="6037434" y="3288224"/>
          <a:ext cx="161925" cy="304800"/>
          <a:chOff x="6037434" y="3288224"/>
          <a:chExt cx="161925" cy="304800"/>
        </a:xfrm>
      </xdr:grpSpPr>
      <xdr:sp macro="" textlink="">
        <xdr:nvSpPr>
          <xdr:cNvPr id="17" name="Dot 5: P&amp;L" descr="P&amp;L has 11 data rows, 376 formulas, calculated from other tabs."/>
          <xdr:cNvSpPr/>
        </xdr:nvSpPr>
        <xdr:spPr>
          <a:xfrm>
            <a:off x="6037434" y="3288224"/>
            <a:ext cx="161925" cy="161925"/>
          </a:xfrm>
          <a:prstGeom prst="ellipse">
            <a:avLst/>
          </a:prstGeom>
          <a:solidFill>
            <a:srgbClr val="8C8F96"/>
          </a:solidFill>
          <a:ln w="15875">
            <a:solidFill>
              <a:srgbClr val="121211"/>
            </a:solidFill>
          </a:ln>
        </xdr:spPr>
      </xdr:sp>
      <xdr:sp macro="" textlink="">
        <xdr:nvSpPr>
          <xdr:cNvPr id="18" name="Name 5"/>
          <xdr:cNvSpPr txBox="1"/>
        </xdr:nvSpPr>
        <xdr:spPr>
          <a:xfrm>
            <a:off x="6037434" y="3469199"/>
            <a:ext cx="161925" cy="123825"/>
          </a:xfrm>
          <a:prstGeom prst="rect">
            <a:avLst/>
          </a:prstGeom>
          <a:noFill/>
          <a:ln>
            <a:noFill/>
          </a:ln>
        </xdr:spPr>
        <xdr:txBody>
          <a:bodyPr wrap="none" lIns="0" tIns="0" rIns="0" bIns="0" anchor="t" rtlCol="0" vertOverflow="overflow" horzOverflow="overflow">
            <a:noAutofit/>
          </a:bodyPr>
          <a:lstStyle/>
          <a:p>
            <a:pPr algn="ctr"/>
            <a:r>
              <a:rPr lang="en-US" sz="800" dirty="0">
                <a:solidFill>
                  <a:srgbClr val="9C9A93"/>
                </a:solidFill>
                <a:effectLst>
                  <a:glow rad="38100">
                    <a:srgbClr val="121211">
                      <a:alpha val="85000"/>
                    </a:srgbClr>
                  </a:glow>
                </a:effectLst>
                <a:latin typeface="Calibri"/>
                <a:cs typeface="Calibri"/>
              </a:rPr>
              <a:t>P&amp;L</a:t>
            </a:r>
          </a:p>
        </xdr:txBody>
      </xdr:sp>
    </xdr:grpSp>
    <xdr:clientData/>
  </xdr:oneCellAnchor>
  <xdr:oneCellAnchor>
    <xdr:from>
      <xdr:col>42</xdr:col>
      <xdr:colOff>28353</xdr:colOff>
      <xdr:row>24</xdr:row>
      <xdr:rowOff>81368</xdr:rowOff>
    </xdr:from>
    <xdr:ext cx="161925" cy="304800"/>
    <xdr:grpSp>
      <xdr:nvGrpSpPr>
        <xdr:cNvPr id="19" name="Node 6: Revenue"/>
        <xdr:cNvGrpSpPr/>
      </xdr:nvGrpSpPr>
      <xdr:grpSpPr>
        <a:xfrm>
          <a:off x="3825653" y="4462868"/>
          <a:ext cx="161925" cy="304800"/>
          <a:chOff x="3825653" y="4462868"/>
          <a:chExt cx="161925" cy="304800"/>
        </a:xfrm>
      </xdr:grpSpPr>
      <xdr:sp macro="" textlink="">
        <xdr:nvSpPr>
          <xdr:cNvPr id="20" name="Dot 6: Revenue" descr="Revenue has 5 data rows, 148 formulas, calculated from other tabs."/>
          <xdr:cNvSpPr/>
        </xdr:nvSpPr>
        <xdr:spPr>
          <a:xfrm>
            <a:off x="3825653" y="4462868"/>
            <a:ext cx="161925" cy="161925"/>
          </a:xfrm>
          <a:prstGeom prst="ellipse">
            <a:avLst/>
          </a:prstGeom>
          <a:solidFill>
            <a:srgbClr val="8C8F96"/>
          </a:solidFill>
          <a:ln w="15875">
            <a:solidFill>
              <a:srgbClr val="121211"/>
            </a:solidFill>
          </a:ln>
        </xdr:spPr>
      </xdr:sp>
      <xdr:sp macro="" textlink="">
        <xdr:nvSpPr>
          <xdr:cNvPr id="21" name="Name 6"/>
          <xdr:cNvSpPr txBox="1"/>
        </xdr:nvSpPr>
        <xdr:spPr>
          <a:xfrm>
            <a:off x="3825653" y="4643843"/>
            <a:ext cx="161925" cy="123825"/>
          </a:xfrm>
          <a:prstGeom prst="rect">
            <a:avLst/>
          </a:prstGeom>
          <a:noFill/>
          <a:ln>
            <a:noFill/>
          </a:ln>
        </xdr:spPr>
        <xdr:txBody>
          <a:bodyPr wrap="none" lIns="0" tIns="0" rIns="0" bIns="0" anchor="t" rtlCol="0" vertOverflow="overflow" horzOverflow="overflow">
            <a:noAutofit/>
          </a:bodyPr>
          <a:lstStyle/>
          <a:p>
            <a:pPr algn="ctr"/>
            <a:r>
              <a:rPr lang="en-US" sz="800" dirty="0">
                <a:solidFill>
                  <a:srgbClr val="9C9A93"/>
                </a:solidFill>
                <a:effectLst>
                  <a:glow rad="38100">
                    <a:srgbClr val="121211">
                      <a:alpha val="85000"/>
                    </a:srgbClr>
                  </a:glow>
                </a:effectLst>
                <a:latin typeface="Calibri"/>
                <a:cs typeface="Calibri"/>
              </a:rPr>
              <a:t>Revenue</a:t>
            </a:r>
          </a:p>
        </xdr:txBody>
      </xdr:sp>
    </xdr:grpSp>
    <xdr:clientData/>
  </xdr:oneCellAnchor>
  <xdr:oneCellAnchor>
    <xdr:from>
      <xdr:col>70</xdr:col>
      <xdr:colOff>97932</xdr:colOff>
      <xdr:row>25</xdr:row>
      <xdr:rowOff>70675</xdr:rowOff>
    </xdr:from>
    <xdr:ext cx="314325" cy="466725"/>
    <xdr:grpSp>
      <xdr:nvGrpSpPr>
        <xdr:cNvPr id="22" name="Node 7: Accounts Payable"/>
        <xdr:cNvGrpSpPr/>
      </xdr:nvGrpSpPr>
      <xdr:grpSpPr>
        <a:xfrm>
          <a:off x="8518032" y="4642675"/>
          <a:ext cx="314325" cy="466725"/>
          <a:chOff x="8518032" y="4642675"/>
          <a:chExt cx="314325" cy="466725"/>
        </a:xfrm>
      </xdr:grpSpPr>
      <xdr:sp macro="" textlink="">
        <xdr:nvSpPr>
          <xdr:cNvPr id="23" name="Dot 7: Accounts Payable" descr="Accounts Payable on Balance Sheet is a calculation with 215 formula references."/>
          <xdr:cNvSpPr/>
        </xdr:nvSpPr>
        <xdr:spPr>
          <a:xfrm>
            <a:off x="8518032" y="4642675"/>
            <a:ext cx="314325" cy="314325"/>
          </a:xfrm>
          <a:prstGeom prst="ellipse">
            <a:avLst/>
          </a:prstGeom>
          <a:solidFill>
            <a:srgbClr val="7FB069"/>
          </a:solidFill>
          <a:ln w="15875">
            <a:solidFill>
              <a:srgbClr val="121211"/>
            </a:solidFill>
          </a:ln>
        </xdr:spPr>
      </xdr:sp>
      <xdr:sp macro="" textlink="">
        <xdr:nvSpPr>
          <xdr:cNvPr id="24" name="Name 7"/>
          <xdr:cNvSpPr txBox="1"/>
        </xdr:nvSpPr>
        <xdr:spPr>
          <a:xfrm>
            <a:off x="8518032" y="4976050"/>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Accounts Payable</a:t>
            </a:r>
          </a:p>
        </xdr:txBody>
      </xdr:sp>
    </xdr:grpSp>
    <xdr:clientData/>
  </xdr:oneCellAnchor>
  <xdr:oneCellAnchor>
    <xdr:from>
      <xdr:col>67</xdr:col>
      <xdr:colOff>64532</xdr:colOff>
      <xdr:row>21</xdr:row>
      <xdr:rowOff>28819</xdr:rowOff>
    </xdr:from>
    <xdr:ext cx="314325" cy="466725"/>
    <xdr:grpSp>
      <xdr:nvGrpSpPr>
        <xdr:cNvPr id="25" name="Node 8: Accounts Receivable"/>
        <xdr:cNvGrpSpPr/>
      </xdr:nvGrpSpPr>
      <xdr:grpSpPr>
        <a:xfrm>
          <a:off x="7989332" y="3838819"/>
          <a:ext cx="314325" cy="466725"/>
          <a:chOff x="7989332" y="3838819"/>
          <a:chExt cx="314325" cy="466725"/>
        </a:xfrm>
      </xdr:grpSpPr>
      <xdr:sp macro="" textlink="">
        <xdr:nvSpPr>
          <xdr:cNvPr id="26" name="Dot 8: Accounts Receivable" descr="Accounts Receivable on Balance Sheet is a calculation with 143 formula references; worth a look: AF5 breaks its row's pattern."/>
          <xdr:cNvSpPr/>
        </xdr:nvSpPr>
        <xdr:spPr>
          <a:xfrm>
            <a:off x="7989332" y="3838819"/>
            <a:ext cx="314325" cy="314325"/>
          </a:xfrm>
          <a:prstGeom prst="ellipse">
            <a:avLst/>
          </a:prstGeom>
          <a:solidFill>
            <a:srgbClr val="7FB069"/>
          </a:solidFill>
          <a:ln w="28575">
            <a:solidFill>
              <a:srgbClr val="E5534B"/>
            </a:solidFill>
          </a:ln>
        </xdr:spPr>
      </xdr:sp>
      <xdr:sp macro="" textlink="">
        <xdr:nvSpPr>
          <xdr:cNvPr id="27" name="Name 8"/>
          <xdr:cNvSpPr txBox="1"/>
        </xdr:nvSpPr>
        <xdr:spPr>
          <a:xfrm>
            <a:off x="7989332" y="4172194"/>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Accounts Receivable</a:t>
            </a:r>
          </a:p>
        </xdr:txBody>
      </xdr:sp>
    </xdr:grpSp>
    <xdr:clientData/>
  </xdr:oneCellAnchor>
  <xdr:oneCellAnchor>
    <xdr:from>
      <xdr:col>87</xdr:col>
      <xdr:colOff>96808</xdr:colOff>
      <xdr:row>24</xdr:row>
      <xdr:rowOff>39474</xdr:rowOff>
    </xdr:from>
    <xdr:ext cx="295275" cy="447675"/>
    <xdr:grpSp>
      <xdr:nvGrpSpPr>
        <xdr:cNvPr id="28" name="Node 9: Balance Check"/>
        <xdr:cNvGrpSpPr/>
      </xdr:nvGrpSpPr>
      <xdr:grpSpPr>
        <a:xfrm>
          <a:off x="11323608" y="4420974"/>
          <a:ext cx="295275" cy="447675"/>
          <a:chOff x="11323608" y="4420974"/>
          <a:chExt cx="295275" cy="447675"/>
        </a:xfrm>
      </xdr:grpSpPr>
      <xdr:sp macro="" textlink="">
        <xdr:nvSpPr>
          <xdr:cNvPr id="29" name="Dot 9: Balance Check" descr="Balance Check on Balance Sheet is a calculation with 72 formula references; worth a look: check does not tie out."/>
          <xdr:cNvSpPr/>
        </xdr:nvSpPr>
        <xdr:spPr>
          <a:xfrm>
            <a:off x="11323608" y="4420974"/>
            <a:ext cx="295275" cy="295275"/>
          </a:xfrm>
          <a:prstGeom prst="ellipse">
            <a:avLst/>
          </a:prstGeom>
          <a:solidFill>
            <a:srgbClr val="7FB069"/>
          </a:solidFill>
          <a:ln w="28575">
            <a:solidFill>
              <a:srgbClr val="E5534B"/>
            </a:solidFill>
          </a:ln>
        </xdr:spPr>
      </xdr:sp>
      <xdr:sp macro="" textlink="">
        <xdr:nvSpPr>
          <xdr:cNvPr id="30" name="Name 9"/>
          <xdr:cNvSpPr txBox="1"/>
        </xdr:nvSpPr>
        <xdr:spPr>
          <a:xfrm>
            <a:off x="11323608" y="4735299"/>
            <a:ext cx="2952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Balance Check</a:t>
            </a:r>
          </a:p>
        </xdr:txBody>
      </xdr:sp>
    </xdr:grpSp>
    <xdr:clientData/>
  </xdr:oneCellAnchor>
  <xdr:oneCellAnchor>
    <xdr:from>
      <xdr:col>80</xdr:col>
      <xdr:colOff>164892</xdr:colOff>
      <xdr:row>19</xdr:row>
      <xdr:rowOff>152038</xdr:rowOff>
    </xdr:from>
    <xdr:ext cx="295275" cy="447675"/>
    <xdr:grpSp>
      <xdr:nvGrpSpPr>
        <xdr:cNvPr id="31" name="Node 10: Cash"/>
        <xdr:cNvGrpSpPr/>
      </xdr:nvGrpSpPr>
      <xdr:grpSpPr>
        <a:xfrm>
          <a:off x="10235992" y="3581038"/>
          <a:ext cx="295275" cy="447675"/>
          <a:chOff x="10235992" y="3581038"/>
          <a:chExt cx="295275" cy="447675"/>
        </a:xfrm>
      </xdr:grpSpPr>
      <xdr:sp macro="" textlink="">
        <xdr:nvSpPr>
          <xdr:cNvPr id="32" name="Dot 10: Cash" descr="Cash on Balance Sheet is a calculation with 71 formula references; worth a look: R4 is typed in a row of formulas."/>
          <xdr:cNvSpPr/>
        </xdr:nvSpPr>
        <xdr:spPr>
          <a:xfrm>
            <a:off x="10235992" y="3581038"/>
            <a:ext cx="295275" cy="295275"/>
          </a:xfrm>
          <a:prstGeom prst="ellipse">
            <a:avLst/>
          </a:prstGeom>
          <a:solidFill>
            <a:srgbClr val="7FB069"/>
          </a:solidFill>
          <a:ln w="28575">
            <a:solidFill>
              <a:srgbClr val="E5534B"/>
            </a:solidFill>
          </a:ln>
        </xdr:spPr>
      </xdr:sp>
      <xdr:sp macro="" textlink="">
        <xdr:nvSpPr>
          <xdr:cNvPr id="33" name="Name 10"/>
          <xdr:cNvSpPr txBox="1"/>
        </xdr:nvSpPr>
        <xdr:spPr>
          <a:xfrm>
            <a:off x="10235992" y="3895363"/>
            <a:ext cx="2952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Cash</a:t>
            </a:r>
          </a:p>
        </xdr:txBody>
      </xdr:sp>
    </xdr:grpSp>
    <xdr:clientData/>
  </xdr:oneCellAnchor>
  <xdr:oneCellAnchor>
    <xdr:from>
      <xdr:col>72</xdr:col>
      <xdr:colOff>81961</xdr:colOff>
      <xdr:row>19</xdr:row>
      <xdr:rowOff>119720</xdr:rowOff>
    </xdr:from>
    <xdr:ext cx="314325" cy="466725"/>
    <xdr:grpSp>
      <xdr:nvGrpSpPr>
        <xdr:cNvPr id="34" name="Node 11: PP&amp;E, net"/>
        <xdr:cNvGrpSpPr/>
      </xdr:nvGrpSpPr>
      <xdr:grpSpPr>
        <a:xfrm>
          <a:off x="8832261" y="3548720"/>
          <a:ext cx="314325" cy="466725"/>
          <a:chOff x="8832261" y="3548720"/>
          <a:chExt cx="314325" cy="466725"/>
        </a:xfrm>
      </xdr:grpSpPr>
      <xdr:sp macro="" textlink="">
        <xdr:nvSpPr>
          <xdr:cNvPr id="35" name="Dot 11: PP&amp;E, net" descr="PP&amp;E, net on Balance Sheet is a calculation with 109 formula references."/>
          <xdr:cNvSpPr/>
        </xdr:nvSpPr>
        <xdr:spPr>
          <a:xfrm>
            <a:off x="8832261" y="3548720"/>
            <a:ext cx="314325" cy="314325"/>
          </a:xfrm>
          <a:prstGeom prst="ellipse">
            <a:avLst/>
          </a:prstGeom>
          <a:solidFill>
            <a:srgbClr val="7FB069"/>
          </a:solidFill>
          <a:ln w="15875">
            <a:solidFill>
              <a:srgbClr val="121211"/>
            </a:solidFill>
          </a:ln>
        </xdr:spPr>
      </xdr:sp>
      <xdr:sp macro="" textlink="">
        <xdr:nvSpPr>
          <xdr:cNvPr id="36" name="Name 11"/>
          <xdr:cNvSpPr txBox="1"/>
        </xdr:nvSpPr>
        <xdr:spPr>
          <a:xfrm>
            <a:off x="8832261" y="3882095"/>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PP&amp;E, net</a:t>
            </a:r>
          </a:p>
        </xdr:txBody>
      </xdr:sp>
    </xdr:grpSp>
    <xdr:clientData/>
  </xdr:oneCellAnchor>
  <xdr:oneCellAnchor>
    <xdr:from>
      <xdr:col>81</xdr:col>
      <xdr:colOff>16819</xdr:colOff>
      <xdr:row>27</xdr:row>
      <xdr:rowOff>107669</xdr:rowOff>
    </xdr:from>
    <xdr:ext cx="295275" cy="447675"/>
    <xdr:grpSp>
      <xdr:nvGrpSpPr>
        <xdr:cNvPr id="37" name="Node 12: Paid-in Capital"/>
        <xdr:cNvGrpSpPr/>
      </xdr:nvGrpSpPr>
      <xdr:grpSpPr>
        <a:xfrm>
          <a:off x="10253019" y="5060669"/>
          <a:ext cx="295275" cy="447675"/>
          <a:chOff x="10253019" y="5060669"/>
          <a:chExt cx="295275" cy="447675"/>
        </a:xfrm>
      </xdr:grpSpPr>
      <xdr:sp macro="" textlink="">
        <xdr:nvSpPr>
          <xdr:cNvPr id="38" name="Dot 12: Paid-in Capital" descr="Paid-in Capital on Balance Sheet is a calculation with 73 formula references."/>
          <xdr:cNvSpPr/>
        </xdr:nvSpPr>
        <xdr:spPr>
          <a:xfrm>
            <a:off x="10253019" y="5060669"/>
            <a:ext cx="295275" cy="295275"/>
          </a:xfrm>
          <a:prstGeom prst="ellipse">
            <a:avLst/>
          </a:prstGeom>
          <a:solidFill>
            <a:srgbClr val="7FB069"/>
          </a:solidFill>
          <a:ln w="15875">
            <a:solidFill>
              <a:srgbClr val="121211"/>
            </a:solidFill>
          </a:ln>
        </xdr:spPr>
      </xdr:sp>
      <xdr:sp macro="" textlink="">
        <xdr:nvSpPr>
          <xdr:cNvPr id="39" name="Name 12"/>
          <xdr:cNvSpPr txBox="1"/>
        </xdr:nvSpPr>
        <xdr:spPr>
          <a:xfrm>
            <a:off x="10253019" y="5374994"/>
            <a:ext cx="2952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Paid-in Capital</a:t>
            </a:r>
          </a:p>
        </xdr:txBody>
      </xdr:sp>
    </xdr:grpSp>
    <xdr:clientData/>
  </xdr:oneCellAnchor>
  <xdr:oneCellAnchor>
    <xdr:from>
      <xdr:col>73</xdr:col>
      <xdr:colOff>82939</xdr:colOff>
      <xdr:row>22</xdr:row>
      <xdr:rowOff>104653</xdr:rowOff>
    </xdr:from>
    <xdr:ext cx="295275" cy="447675"/>
    <xdr:grpSp>
      <xdr:nvGrpSpPr>
        <xdr:cNvPr id="40" name="Node 13: Retained Earnings"/>
        <xdr:cNvGrpSpPr/>
      </xdr:nvGrpSpPr>
      <xdr:grpSpPr>
        <a:xfrm>
          <a:off x="8998339" y="4105153"/>
          <a:ext cx="295275" cy="447675"/>
          <a:chOff x="8998339" y="4105153"/>
          <a:chExt cx="295275" cy="447675"/>
        </a:xfrm>
      </xdr:grpSpPr>
      <xdr:sp macro="" textlink="">
        <xdr:nvSpPr>
          <xdr:cNvPr id="41" name="Dot 13: Retained Earnings" descr="Retained Earnings on Balance Sheet is a calculation with 73 formula references."/>
          <xdr:cNvSpPr/>
        </xdr:nvSpPr>
        <xdr:spPr>
          <a:xfrm>
            <a:off x="8998339" y="4105153"/>
            <a:ext cx="295275" cy="295275"/>
          </a:xfrm>
          <a:prstGeom prst="ellipse">
            <a:avLst/>
          </a:prstGeom>
          <a:solidFill>
            <a:srgbClr val="7FB069"/>
          </a:solidFill>
          <a:ln w="15875">
            <a:solidFill>
              <a:srgbClr val="121211"/>
            </a:solidFill>
          </a:ln>
        </xdr:spPr>
      </xdr:sp>
      <xdr:sp macro="" textlink="">
        <xdr:nvSpPr>
          <xdr:cNvPr id="42" name="Name 13"/>
          <xdr:cNvSpPr txBox="1"/>
        </xdr:nvSpPr>
        <xdr:spPr>
          <a:xfrm>
            <a:off x="8998339" y="4419478"/>
            <a:ext cx="2952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Retained Earnings</a:t>
            </a:r>
          </a:p>
        </xdr:txBody>
      </xdr:sp>
    </xdr:grpSp>
    <xdr:clientData/>
  </xdr:oneCellAnchor>
  <xdr:oneCellAnchor>
    <xdr:from>
      <xdr:col>84</xdr:col>
      <xdr:colOff>67280</xdr:colOff>
      <xdr:row>18</xdr:row>
      <xdr:rowOff>66463</xdr:rowOff>
    </xdr:from>
    <xdr:ext cx="314325" cy="466725"/>
    <xdr:grpSp>
      <xdr:nvGrpSpPr>
        <xdr:cNvPr id="43" name="Node 14: Total Assets"/>
        <xdr:cNvGrpSpPr/>
      </xdr:nvGrpSpPr>
      <xdr:grpSpPr>
        <a:xfrm>
          <a:off x="10798780" y="3304963"/>
          <a:ext cx="314325" cy="466725"/>
          <a:chOff x="10798780" y="3304963"/>
          <a:chExt cx="314325" cy="466725"/>
        </a:xfrm>
      </xdr:grpSpPr>
      <xdr:sp macro="" textlink="">
        <xdr:nvSpPr>
          <xdr:cNvPr id="44" name="Dot 14: Total Assets" descr="Total Assets on Balance Sheet is a calculation with 108 formula references."/>
          <xdr:cNvSpPr/>
        </xdr:nvSpPr>
        <xdr:spPr>
          <a:xfrm>
            <a:off x="10798780" y="3304963"/>
            <a:ext cx="314325" cy="314325"/>
          </a:xfrm>
          <a:prstGeom prst="ellipse">
            <a:avLst/>
          </a:prstGeom>
          <a:solidFill>
            <a:srgbClr val="7FB069"/>
          </a:solidFill>
          <a:ln w="15875">
            <a:solidFill>
              <a:srgbClr val="121211"/>
            </a:solidFill>
          </a:ln>
        </xdr:spPr>
      </xdr:sp>
      <xdr:sp macro="" textlink="">
        <xdr:nvSpPr>
          <xdr:cNvPr id="45" name="Name 14"/>
          <xdr:cNvSpPr txBox="1"/>
        </xdr:nvSpPr>
        <xdr:spPr>
          <a:xfrm>
            <a:off x="10798780" y="3638338"/>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Total Assets</a:t>
            </a:r>
          </a:p>
        </xdr:txBody>
      </xdr:sp>
    </xdr:grpSp>
    <xdr:clientData/>
  </xdr:oneCellAnchor>
  <xdr:oneCellAnchor>
    <xdr:from>
      <xdr:col>84</xdr:col>
      <xdr:colOff>67280</xdr:colOff>
      <xdr:row>21</xdr:row>
      <xdr:rowOff>56938</xdr:rowOff>
    </xdr:from>
    <xdr:ext cx="314325" cy="466725"/>
    <xdr:grpSp>
      <xdr:nvGrpSpPr>
        <xdr:cNvPr id="46" name="Node 15: Total Equity"/>
        <xdr:cNvGrpSpPr/>
      </xdr:nvGrpSpPr>
      <xdr:grpSpPr>
        <a:xfrm>
          <a:off x="10798780" y="3866938"/>
          <a:ext cx="314325" cy="466725"/>
          <a:chOff x="10798780" y="3866938"/>
          <a:chExt cx="314325" cy="466725"/>
        </a:xfrm>
      </xdr:grpSpPr>
      <xdr:sp macro="" textlink="">
        <xdr:nvSpPr>
          <xdr:cNvPr id="47" name="Dot 15: Total Equity" descr="Total Equity on Balance Sheet is a calculation with 108 formula references."/>
          <xdr:cNvSpPr/>
        </xdr:nvSpPr>
        <xdr:spPr>
          <a:xfrm>
            <a:off x="10798780" y="3866938"/>
            <a:ext cx="314325" cy="314325"/>
          </a:xfrm>
          <a:prstGeom prst="ellipse">
            <a:avLst/>
          </a:prstGeom>
          <a:solidFill>
            <a:srgbClr val="7FB069"/>
          </a:solidFill>
          <a:ln w="15875">
            <a:solidFill>
              <a:srgbClr val="121211"/>
            </a:solidFill>
          </a:ln>
        </xdr:spPr>
      </xdr:sp>
      <xdr:sp macro="" textlink="">
        <xdr:nvSpPr>
          <xdr:cNvPr id="48" name="Name 15"/>
          <xdr:cNvSpPr txBox="1"/>
        </xdr:nvSpPr>
        <xdr:spPr>
          <a:xfrm>
            <a:off x="10798780" y="4200313"/>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Total Equity</a:t>
            </a:r>
          </a:p>
        </xdr:txBody>
      </xdr:sp>
    </xdr:grpSp>
    <xdr:clientData/>
  </xdr:oneCellAnchor>
  <xdr:oneCellAnchor>
    <xdr:from>
      <xdr:col>82</xdr:col>
      <xdr:colOff>117379</xdr:colOff>
      <xdr:row>24</xdr:row>
      <xdr:rowOff>135367</xdr:rowOff>
    </xdr:from>
    <xdr:ext cx="295275" cy="447675"/>
    <xdr:grpSp>
      <xdr:nvGrpSpPr>
        <xdr:cNvPr id="49" name="Node 16: Total Liabilities"/>
        <xdr:cNvGrpSpPr/>
      </xdr:nvGrpSpPr>
      <xdr:grpSpPr>
        <a:xfrm>
          <a:off x="10518679" y="4516867"/>
          <a:ext cx="295275" cy="447675"/>
          <a:chOff x="10518679" y="4516867"/>
          <a:chExt cx="295275" cy="447675"/>
        </a:xfrm>
      </xdr:grpSpPr>
      <xdr:sp macro="" textlink="">
        <xdr:nvSpPr>
          <xdr:cNvPr id="50" name="Dot 16: Total Liabilities" descr="Total Liabilities on Balance Sheet is a calculation with 72 formula references."/>
          <xdr:cNvSpPr/>
        </xdr:nvSpPr>
        <xdr:spPr>
          <a:xfrm>
            <a:off x="10518679" y="4516867"/>
            <a:ext cx="295275" cy="295275"/>
          </a:xfrm>
          <a:prstGeom prst="ellipse">
            <a:avLst/>
          </a:prstGeom>
          <a:solidFill>
            <a:srgbClr val="7FB069"/>
          </a:solidFill>
          <a:ln w="15875">
            <a:solidFill>
              <a:srgbClr val="121211"/>
            </a:solidFill>
          </a:ln>
        </xdr:spPr>
      </xdr:sp>
      <xdr:sp macro="" textlink="">
        <xdr:nvSpPr>
          <xdr:cNvPr id="51" name="Name 16"/>
          <xdr:cNvSpPr txBox="1"/>
        </xdr:nvSpPr>
        <xdr:spPr>
          <a:xfrm>
            <a:off x="10518679" y="4831192"/>
            <a:ext cx="2952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Total Liabilities</a:t>
            </a:r>
          </a:p>
        </xdr:txBody>
      </xdr:sp>
    </xdr:grpSp>
    <xdr:clientData/>
  </xdr:oneCellAnchor>
  <xdr:oneCellAnchor>
    <xdr:from>
      <xdr:col>90</xdr:col>
      <xdr:colOff>26802</xdr:colOff>
      <xdr:row>20</xdr:row>
      <xdr:rowOff>49605</xdr:rowOff>
    </xdr:from>
    <xdr:ext cx="314325" cy="466725"/>
    <xdr:grpSp>
      <xdr:nvGrpSpPr>
        <xdr:cNvPr id="52" name="Node 17: Total Liabilities &amp; Equity"/>
        <xdr:cNvGrpSpPr/>
      </xdr:nvGrpSpPr>
      <xdr:grpSpPr>
        <a:xfrm>
          <a:off x="11748902" y="3669105"/>
          <a:ext cx="314325" cy="466725"/>
          <a:chOff x="11748902" y="3669105"/>
          <a:chExt cx="314325" cy="466725"/>
        </a:xfrm>
      </xdr:grpSpPr>
      <xdr:sp macro="" textlink="">
        <xdr:nvSpPr>
          <xdr:cNvPr id="53" name="Dot 17: Total Liabilities &amp; Equity" descr="Total Liabilities &amp; Equity on Balance Sheet is a calculation with 108 formula references."/>
          <xdr:cNvSpPr/>
        </xdr:nvSpPr>
        <xdr:spPr>
          <a:xfrm>
            <a:off x="11748902" y="3669105"/>
            <a:ext cx="314325" cy="314325"/>
          </a:xfrm>
          <a:prstGeom prst="ellipse">
            <a:avLst/>
          </a:prstGeom>
          <a:solidFill>
            <a:srgbClr val="7FB069"/>
          </a:solidFill>
          <a:ln w="15875">
            <a:solidFill>
              <a:srgbClr val="121211"/>
            </a:solidFill>
          </a:ln>
        </xdr:spPr>
      </xdr:sp>
      <xdr:sp macro="" textlink="">
        <xdr:nvSpPr>
          <xdr:cNvPr id="54" name="Name 17"/>
          <xdr:cNvSpPr txBox="1"/>
        </xdr:nvSpPr>
        <xdr:spPr>
          <a:xfrm>
            <a:off x="11748902" y="4002480"/>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Total Liabilities &amp; Equity</a:t>
            </a:r>
          </a:p>
        </xdr:txBody>
      </xdr:sp>
    </xdr:grpSp>
    <xdr:clientData/>
  </xdr:oneCellAnchor>
  <xdr:oneCellAnchor>
    <xdr:from>
      <xdr:col>69</xdr:col>
      <xdr:colOff>48380</xdr:colOff>
      <xdr:row>40</xdr:row>
      <xdr:rowOff>118635</xdr:rowOff>
    </xdr:from>
    <xdr:ext cx="295275" cy="447675"/>
    <xdr:grpSp>
      <xdr:nvGrpSpPr>
        <xdr:cNvPr id="55" name="Node 18: Beginning Cash"/>
        <xdr:cNvGrpSpPr/>
      </xdr:nvGrpSpPr>
      <xdr:grpSpPr>
        <a:xfrm>
          <a:off x="8303380" y="7548135"/>
          <a:ext cx="295275" cy="447675"/>
          <a:chOff x="8303380" y="7548135"/>
          <a:chExt cx="295275" cy="447675"/>
        </a:xfrm>
      </xdr:grpSpPr>
      <xdr:sp macro="" textlink="">
        <xdr:nvSpPr>
          <xdr:cNvPr id="56" name="Dot 18: Beginning Cash" descr="Beginning Cash on Cash Flow is a calculation with 72 formula references."/>
          <xdr:cNvSpPr/>
        </xdr:nvSpPr>
        <xdr:spPr>
          <a:xfrm>
            <a:off x="8303380" y="7548135"/>
            <a:ext cx="295275" cy="295275"/>
          </a:xfrm>
          <a:prstGeom prst="ellipse">
            <a:avLst/>
          </a:prstGeom>
          <a:solidFill>
            <a:srgbClr val="E07BB0"/>
          </a:solidFill>
          <a:ln w="15875">
            <a:solidFill>
              <a:srgbClr val="121211"/>
            </a:solidFill>
          </a:ln>
        </xdr:spPr>
      </xdr:sp>
      <xdr:sp macro="" textlink="">
        <xdr:nvSpPr>
          <xdr:cNvPr id="57" name="Name 18"/>
          <xdr:cNvSpPr txBox="1"/>
        </xdr:nvSpPr>
        <xdr:spPr>
          <a:xfrm>
            <a:off x="8303380" y="7862460"/>
            <a:ext cx="2952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Beginning Cash</a:t>
            </a:r>
          </a:p>
        </xdr:txBody>
      </xdr:sp>
    </xdr:grpSp>
    <xdr:clientData/>
  </xdr:oneCellAnchor>
  <xdr:oneCellAnchor>
    <xdr:from>
      <xdr:col>76</xdr:col>
      <xdr:colOff>158437</xdr:colOff>
      <xdr:row>37</xdr:row>
      <xdr:rowOff>82056</xdr:rowOff>
    </xdr:from>
    <xdr:ext cx="295275" cy="447675"/>
    <xdr:grpSp>
      <xdr:nvGrpSpPr>
        <xdr:cNvPr id="58" name="Node 19: Capex"/>
        <xdr:cNvGrpSpPr/>
      </xdr:nvGrpSpPr>
      <xdr:grpSpPr>
        <a:xfrm>
          <a:off x="9569137" y="6940056"/>
          <a:ext cx="295275" cy="447675"/>
          <a:chOff x="9569137" y="6940056"/>
          <a:chExt cx="295275" cy="447675"/>
        </a:xfrm>
      </xdr:grpSpPr>
      <xdr:sp macro="" textlink="">
        <xdr:nvSpPr>
          <xdr:cNvPr id="59" name="Dot 19: Capex" descr="Capex on Cash Flow is a calculation with 72 formula references."/>
          <xdr:cNvSpPr/>
        </xdr:nvSpPr>
        <xdr:spPr>
          <a:xfrm>
            <a:off x="9569137" y="6940056"/>
            <a:ext cx="295275" cy="295275"/>
          </a:xfrm>
          <a:prstGeom prst="ellipse">
            <a:avLst/>
          </a:prstGeom>
          <a:solidFill>
            <a:srgbClr val="E07BB0"/>
          </a:solidFill>
          <a:ln w="15875">
            <a:solidFill>
              <a:srgbClr val="121211"/>
            </a:solidFill>
          </a:ln>
        </xdr:spPr>
      </xdr:sp>
      <xdr:sp macro="" textlink="">
        <xdr:nvSpPr>
          <xdr:cNvPr id="60" name="Name 19"/>
          <xdr:cNvSpPr txBox="1"/>
        </xdr:nvSpPr>
        <xdr:spPr>
          <a:xfrm>
            <a:off x="9569137" y="7254381"/>
            <a:ext cx="2952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Capex</a:t>
            </a:r>
          </a:p>
        </xdr:txBody>
      </xdr:sp>
    </xdr:grpSp>
    <xdr:clientData/>
  </xdr:oneCellAnchor>
  <xdr:oneCellAnchor>
    <xdr:from>
      <xdr:col>81</xdr:col>
      <xdr:colOff>119949</xdr:colOff>
      <xdr:row>39</xdr:row>
      <xdr:rowOff>94029</xdr:rowOff>
    </xdr:from>
    <xdr:ext cx="295275" cy="447675"/>
    <xdr:grpSp>
      <xdr:nvGrpSpPr>
        <xdr:cNvPr id="61" name="Node 20: Cash from Financing"/>
        <xdr:cNvGrpSpPr/>
      </xdr:nvGrpSpPr>
      <xdr:grpSpPr>
        <a:xfrm>
          <a:off x="10356149" y="7333029"/>
          <a:ext cx="295275" cy="447675"/>
          <a:chOff x="10356149" y="7333029"/>
          <a:chExt cx="295275" cy="447675"/>
        </a:xfrm>
      </xdr:grpSpPr>
      <xdr:sp macro="" textlink="">
        <xdr:nvSpPr>
          <xdr:cNvPr id="62" name="Dot 20: Cash from Financing" descr="Cash from Financing on Cash Flow is a calculation with 72 formula references."/>
          <xdr:cNvSpPr/>
        </xdr:nvSpPr>
        <xdr:spPr>
          <a:xfrm>
            <a:off x="10356149" y="7333029"/>
            <a:ext cx="295275" cy="295275"/>
          </a:xfrm>
          <a:prstGeom prst="ellipse">
            <a:avLst/>
          </a:prstGeom>
          <a:solidFill>
            <a:srgbClr val="E07BB0"/>
          </a:solidFill>
          <a:ln w="15875">
            <a:solidFill>
              <a:srgbClr val="121211"/>
            </a:solidFill>
          </a:ln>
        </xdr:spPr>
      </xdr:sp>
      <xdr:sp macro="" textlink="">
        <xdr:nvSpPr>
          <xdr:cNvPr id="63" name="Name 20"/>
          <xdr:cNvSpPr txBox="1"/>
        </xdr:nvSpPr>
        <xdr:spPr>
          <a:xfrm>
            <a:off x="10356149" y="7647354"/>
            <a:ext cx="2952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Cash from Financing</a:t>
            </a:r>
          </a:p>
        </xdr:txBody>
      </xdr:sp>
    </xdr:grpSp>
    <xdr:clientData/>
  </xdr:oneCellAnchor>
  <xdr:oneCellAnchor>
    <xdr:from>
      <xdr:col>72</xdr:col>
      <xdr:colOff>54457</xdr:colOff>
      <xdr:row>43</xdr:row>
      <xdr:rowOff>109530</xdr:rowOff>
    </xdr:from>
    <xdr:ext cx="295275" cy="447675"/>
    <xdr:grpSp>
      <xdr:nvGrpSpPr>
        <xdr:cNvPr id="64" name="Node 21: Cash from Investing"/>
        <xdr:cNvGrpSpPr/>
      </xdr:nvGrpSpPr>
      <xdr:grpSpPr>
        <a:xfrm>
          <a:off x="8804757" y="8110530"/>
          <a:ext cx="295275" cy="447675"/>
          <a:chOff x="8804757" y="8110530"/>
          <a:chExt cx="295275" cy="447675"/>
        </a:xfrm>
      </xdr:grpSpPr>
      <xdr:sp macro="" textlink="">
        <xdr:nvSpPr>
          <xdr:cNvPr id="65" name="Dot 21: Cash from Investing" descr="Cash from Investing on Cash Flow is a calculation with 72 formula references."/>
          <xdr:cNvSpPr/>
        </xdr:nvSpPr>
        <xdr:spPr>
          <a:xfrm>
            <a:off x="8804757" y="8110530"/>
            <a:ext cx="295275" cy="295275"/>
          </a:xfrm>
          <a:prstGeom prst="ellipse">
            <a:avLst/>
          </a:prstGeom>
          <a:solidFill>
            <a:srgbClr val="E07BB0"/>
          </a:solidFill>
          <a:ln w="15875">
            <a:solidFill>
              <a:srgbClr val="121211"/>
            </a:solidFill>
          </a:ln>
        </xdr:spPr>
      </xdr:sp>
      <xdr:sp macro="" textlink="">
        <xdr:nvSpPr>
          <xdr:cNvPr id="66" name="Name 21"/>
          <xdr:cNvSpPr txBox="1"/>
        </xdr:nvSpPr>
        <xdr:spPr>
          <a:xfrm>
            <a:off x="8804757" y="8424855"/>
            <a:ext cx="2952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Cash from Investing</a:t>
            </a:r>
          </a:p>
        </xdr:txBody>
      </xdr:sp>
    </xdr:grpSp>
    <xdr:clientData/>
  </xdr:oneCellAnchor>
  <xdr:oneCellAnchor>
    <xdr:from>
      <xdr:col>75</xdr:col>
      <xdr:colOff>15856</xdr:colOff>
      <xdr:row>40</xdr:row>
      <xdr:rowOff>47610</xdr:rowOff>
    </xdr:from>
    <xdr:ext cx="314325" cy="466725"/>
    <xdr:grpSp>
      <xdr:nvGrpSpPr>
        <xdr:cNvPr id="67" name="Node 22: Cash from Operations"/>
        <xdr:cNvGrpSpPr/>
      </xdr:nvGrpSpPr>
      <xdr:grpSpPr>
        <a:xfrm>
          <a:off x="9261456" y="7477110"/>
          <a:ext cx="314325" cy="466725"/>
          <a:chOff x="9261456" y="7477110"/>
          <a:chExt cx="314325" cy="466725"/>
        </a:xfrm>
      </xdr:grpSpPr>
      <xdr:sp macro="" textlink="">
        <xdr:nvSpPr>
          <xdr:cNvPr id="68" name="Dot 22: Cash from Operations" descr="Cash from Operations on Cash Flow is a calculation with 108 formula references."/>
          <xdr:cNvSpPr/>
        </xdr:nvSpPr>
        <xdr:spPr>
          <a:xfrm>
            <a:off x="9261456" y="7477110"/>
            <a:ext cx="314325" cy="314325"/>
          </a:xfrm>
          <a:prstGeom prst="ellipse">
            <a:avLst/>
          </a:prstGeom>
          <a:solidFill>
            <a:srgbClr val="E07BB0"/>
          </a:solidFill>
          <a:ln w="15875">
            <a:solidFill>
              <a:srgbClr val="121211"/>
            </a:solidFill>
          </a:ln>
        </xdr:spPr>
      </xdr:sp>
      <xdr:sp macro="" textlink="">
        <xdr:nvSpPr>
          <xdr:cNvPr id="69" name="Name 22"/>
          <xdr:cNvSpPr txBox="1"/>
        </xdr:nvSpPr>
        <xdr:spPr>
          <a:xfrm>
            <a:off x="9261456" y="7810485"/>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Cash from Operations</a:t>
            </a:r>
          </a:p>
        </xdr:txBody>
      </xdr:sp>
    </xdr:grpSp>
    <xdr:clientData/>
  </xdr:oneCellAnchor>
  <xdr:oneCellAnchor>
    <xdr:from>
      <xdr:col>76</xdr:col>
      <xdr:colOff>142276</xdr:colOff>
      <xdr:row>34</xdr:row>
      <xdr:rowOff>66913</xdr:rowOff>
    </xdr:from>
    <xdr:ext cx="314325" cy="466725"/>
    <xdr:grpSp>
      <xdr:nvGrpSpPr>
        <xdr:cNvPr id="70" name="Node 23: Change in AP"/>
        <xdr:cNvGrpSpPr/>
      </xdr:nvGrpSpPr>
      <xdr:grpSpPr>
        <a:xfrm>
          <a:off x="9552976" y="6353413"/>
          <a:ext cx="314325" cy="466725"/>
          <a:chOff x="9552976" y="6353413"/>
          <a:chExt cx="314325" cy="466725"/>
        </a:xfrm>
      </xdr:grpSpPr>
      <xdr:sp macro="" textlink="">
        <xdr:nvSpPr>
          <xdr:cNvPr id="71" name="Dot 23: Change in AP" descr="Change in AP on Cash Flow is a calculation with 108 formula references."/>
          <xdr:cNvSpPr/>
        </xdr:nvSpPr>
        <xdr:spPr>
          <a:xfrm>
            <a:off x="9552976" y="6353413"/>
            <a:ext cx="314325" cy="314325"/>
          </a:xfrm>
          <a:prstGeom prst="ellipse">
            <a:avLst/>
          </a:prstGeom>
          <a:solidFill>
            <a:srgbClr val="E07BB0"/>
          </a:solidFill>
          <a:ln w="15875">
            <a:solidFill>
              <a:srgbClr val="121211"/>
            </a:solidFill>
          </a:ln>
        </xdr:spPr>
      </xdr:sp>
      <xdr:sp macro="" textlink="">
        <xdr:nvSpPr>
          <xdr:cNvPr id="72" name="Name 23"/>
          <xdr:cNvSpPr txBox="1"/>
        </xdr:nvSpPr>
        <xdr:spPr>
          <a:xfrm>
            <a:off x="9552976" y="6686788"/>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Change in AP</a:t>
            </a:r>
          </a:p>
        </xdr:txBody>
      </xdr:sp>
    </xdr:grpSp>
    <xdr:clientData/>
  </xdr:oneCellAnchor>
  <xdr:oneCellAnchor>
    <xdr:from>
      <xdr:col>78</xdr:col>
      <xdr:colOff>17556</xdr:colOff>
      <xdr:row>31</xdr:row>
      <xdr:rowOff>100917</xdr:rowOff>
    </xdr:from>
    <xdr:ext cx="295275" cy="447675"/>
    <xdr:grpSp>
      <xdr:nvGrpSpPr>
        <xdr:cNvPr id="73" name="Node 24: Change in AR"/>
        <xdr:cNvGrpSpPr/>
      </xdr:nvGrpSpPr>
      <xdr:grpSpPr>
        <a:xfrm>
          <a:off x="9758456" y="5815917"/>
          <a:ext cx="295275" cy="447675"/>
          <a:chOff x="9758456" y="5815917"/>
          <a:chExt cx="295275" cy="447675"/>
        </a:xfrm>
      </xdr:grpSpPr>
      <xdr:sp macro="" textlink="">
        <xdr:nvSpPr>
          <xdr:cNvPr id="74" name="Dot 24: Change in AR" descr="Change in AR on Cash Flow is a calculation with 72 formula references."/>
          <xdr:cNvSpPr/>
        </xdr:nvSpPr>
        <xdr:spPr>
          <a:xfrm>
            <a:off x="9758456" y="5815917"/>
            <a:ext cx="295275" cy="295275"/>
          </a:xfrm>
          <a:prstGeom prst="ellipse">
            <a:avLst/>
          </a:prstGeom>
          <a:solidFill>
            <a:srgbClr val="E07BB0"/>
          </a:solidFill>
          <a:ln w="15875">
            <a:solidFill>
              <a:srgbClr val="121211"/>
            </a:solidFill>
          </a:ln>
        </xdr:spPr>
      </xdr:sp>
      <xdr:sp macro="" textlink="">
        <xdr:nvSpPr>
          <xdr:cNvPr id="75" name="Name 24"/>
          <xdr:cNvSpPr txBox="1"/>
        </xdr:nvSpPr>
        <xdr:spPr>
          <a:xfrm>
            <a:off x="9758456" y="6130242"/>
            <a:ext cx="2952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Change in AR</a:t>
            </a:r>
          </a:p>
        </xdr:txBody>
      </xdr:sp>
    </xdr:grpSp>
    <xdr:clientData/>
  </xdr:oneCellAnchor>
  <xdr:oneCellAnchor>
    <xdr:from>
      <xdr:col>73</xdr:col>
      <xdr:colOff>148731</xdr:colOff>
      <xdr:row>28</xdr:row>
      <xdr:rowOff>55837</xdr:rowOff>
    </xdr:from>
    <xdr:ext cx="247650" cy="400050"/>
    <xdr:grpSp>
      <xdr:nvGrpSpPr>
        <xdr:cNvPr id="76" name="Node 25: D&amp;A (Cash Flow)"/>
        <xdr:cNvGrpSpPr/>
      </xdr:nvGrpSpPr>
      <xdr:grpSpPr>
        <a:xfrm>
          <a:off x="9064131" y="5199337"/>
          <a:ext cx="247650" cy="400050"/>
          <a:chOff x="9064131" y="5199337"/>
          <a:chExt cx="247650" cy="400050"/>
        </a:xfrm>
      </xdr:grpSpPr>
      <xdr:sp macro="" textlink="">
        <xdr:nvSpPr>
          <xdr:cNvPr id="77" name="Dot 25: D&amp;A (Cash Flow)" descr="D&amp;A on Cash Flow is a calculation with 36 formula references."/>
          <xdr:cNvSpPr/>
        </xdr:nvSpPr>
        <xdr:spPr>
          <a:xfrm>
            <a:off x="9064131" y="5199337"/>
            <a:ext cx="247650" cy="247650"/>
          </a:xfrm>
          <a:prstGeom prst="ellipse">
            <a:avLst/>
          </a:prstGeom>
          <a:solidFill>
            <a:srgbClr val="E07BB0"/>
          </a:solidFill>
          <a:ln w="15875">
            <a:solidFill>
              <a:srgbClr val="121211"/>
            </a:solidFill>
          </a:ln>
        </xdr:spPr>
      </xdr:sp>
      <xdr:sp macro="" textlink="">
        <xdr:nvSpPr>
          <xdr:cNvPr id="78" name="Name 25"/>
          <xdr:cNvSpPr txBox="1"/>
        </xdr:nvSpPr>
        <xdr:spPr>
          <a:xfrm>
            <a:off x="9064131" y="5466037"/>
            <a:ext cx="24765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D&amp;A (Cash Flow)</a:t>
            </a:r>
          </a:p>
        </xdr:txBody>
      </xdr:sp>
    </xdr:grpSp>
    <xdr:clientData/>
  </xdr:oneCellAnchor>
  <xdr:oneCellAnchor>
    <xdr:from>
      <xdr:col>81</xdr:col>
      <xdr:colOff>31945</xdr:colOff>
      <xdr:row>36</xdr:row>
      <xdr:rowOff>82671</xdr:rowOff>
    </xdr:from>
    <xdr:ext cx="314325" cy="466725"/>
    <xdr:grpSp>
      <xdr:nvGrpSpPr>
        <xdr:cNvPr id="79" name="Node 26: Ending Cash"/>
        <xdr:cNvGrpSpPr/>
      </xdr:nvGrpSpPr>
      <xdr:grpSpPr>
        <a:xfrm>
          <a:off x="10268145" y="6750171"/>
          <a:ext cx="314325" cy="466725"/>
          <a:chOff x="10268145" y="6750171"/>
          <a:chExt cx="314325" cy="466725"/>
        </a:xfrm>
      </xdr:grpSpPr>
      <xdr:sp macro="" textlink="">
        <xdr:nvSpPr>
          <xdr:cNvPr id="80" name="Dot 26: Ending Cash" descr="Ending Cash on Cash Flow is a calculation with 142 formula references."/>
          <xdr:cNvSpPr/>
        </xdr:nvSpPr>
        <xdr:spPr>
          <a:xfrm>
            <a:off x="10268145" y="6750171"/>
            <a:ext cx="314325" cy="314325"/>
          </a:xfrm>
          <a:prstGeom prst="ellipse">
            <a:avLst/>
          </a:prstGeom>
          <a:solidFill>
            <a:srgbClr val="E07BB0"/>
          </a:solidFill>
          <a:ln w="15875">
            <a:solidFill>
              <a:srgbClr val="121211"/>
            </a:solidFill>
          </a:ln>
        </xdr:spPr>
      </xdr:sp>
      <xdr:sp macro="" textlink="">
        <xdr:nvSpPr>
          <xdr:cNvPr id="81" name="Name 26"/>
          <xdr:cNvSpPr txBox="1"/>
        </xdr:nvSpPr>
        <xdr:spPr>
          <a:xfrm>
            <a:off x="10268145" y="7083546"/>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Ending Cash</a:t>
            </a:r>
          </a:p>
        </xdr:txBody>
      </xdr:sp>
    </xdr:grpSp>
    <xdr:clientData/>
  </xdr:oneCellAnchor>
  <xdr:oneCellAnchor>
    <xdr:from>
      <xdr:col>81</xdr:col>
      <xdr:colOff>155943</xdr:colOff>
      <xdr:row>33</xdr:row>
      <xdr:rowOff>111246</xdr:rowOff>
    </xdr:from>
    <xdr:ext cx="295275" cy="447675"/>
    <xdr:grpSp>
      <xdr:nvGrpSpPr>
        <xdr:cNvPr id="82" name="Node 27: Equity raised"/>
        <xdr:cNvGrpSpPr/>
      </xdr:nvGrpSpPr>
      <xdr:grpSpPr>
        <a:xfrm>
          <a:off x="10392143" y="6207246"/>
          <a:ext cx="295275" cy="447675"/>
          <a:chOff x="10392143" y="6207246"/>
          <a:chExt cx="295275" cy="447675"/>
        </a:xfrm>
      </xdr:grpSpPr>
      <xdr:sp macro="" textlink="">
        <xdr:nvSpPr>
          <xdr:cNvPr id="83" name="Dot 27: Equity raised" descr="Equity raised on Cash Flow is an input with 72 formula references."/>
          <xdr:cNvSpPr/>
        </xdr:nvSpPr>
        <xdr:spPr>
          <a:xfrm>
            <a:off x="10392143" y="6207246"/>
            <a:ext cx="295275" cy="295275"/>
          </a:xfrm>
          <a:prstGeom prst="ellipse">
            <a:avLst/>
          </a:prstGeom>
          <a:solidFill>
            <a:srgbClr val="E07BB0"/>
          </a:solidFill>
          <a:ln w="15875">
            <a:solidFill>
              <a:srgbClr val="121211"/>
            </a:solidFill>
          </a:ln>
        </xdr:spPr>
      </xdr:sp>
      <xdr:sp macro="" textlink="">
        <xdr:nvSpPr>
          <xdr:cNvPr id="84" name="Name 27"/>
          <xdr:cNvSpPr txBox="1"/>
        </xdr:nvSpPr>
        <xdr:spPr>
          <a:xfrm>
            <a:off x="10392143" y="6521571"/>
            <a:ext cx="2952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Equity raised</a:t>
            </a:r>
          </a:p>
        </xdr:txBody>
      </xdr:sp>
    </xdr:grpSp>
    <xdr:clientData/>
  </xdr:oneCellAnchor>
  <xdr:oneCellAnchor>
    <xdr:from>
      <xdr:col>78</xdr:col>
      <xdr:colOff>66673</xdr:colOff>
      <xdr:row>43</xdr:row>
      <xdr:rowOff>38085</xdr:rowOff>
    </xdr:from>
    <xdr:ext cx="314325" cy="466725"/>
    <xdr:grpSp>
      <xdr:nvGrpSpPr>
        <xdr:cNvPr id="85" name="Node 28: Net Change in Cash"/>
        <xdr:cNvGrpSpPr/>
      </xdr:nvGrpSpPr>
      <xdr:grpSpPr>
        <a:xfrm>
          <a:off x="9807573" y="8039085"/>
          <a:ext cx="314325" cy="466725"/>
          <a:chOff x="9807573" y="8039085"/>
          <a:chExt cx="314325" cy="466725"/>
        </a:xfrm>
      </xdr:grpSpPr>
      <xdr:sp macro="" textlink="">
        <xdr:nvSpPr>
          <xdr:cNvPr id="86" name="Dot 28: Net Change in Cash" descr="Net Change in Cash on Cash Flow is a calculation with 144 formula references."/>
          <xdr:cNvSpPr/>
        </xdr:nvSpPr>
        <xdr:spPr>
          <a:xfrm>
            <a:off x="9807573" y="8039085"/>
            <a:ext cx="314325" cy="314325"/>
          </a:xfrm>
          <a:prstGeom prst="ellipse">
            <a:avLst/>
          </a:prstGeom>
          <a:solidFill>
            <a:srgbClr val="E07BB0"/>
          </a:solidFill>
          <a:ln w="15875">
            <a:solidFill>
              <a:srgbClr val="121211"/>
            </a:solidFill>
          </a:ln>
        </xdr:spPr>
      </xdr:sp>
      <xdr:sp macro="" textlink="">
        <xdr:nvSpPr>
          <xdr:cNvPr id="87" name="Name 28"/>
          <xdr:cNvSpPr txBox="1"/>
        </xdr:nvSpPr>
        <xdr:spPr>
          <a:xfrm>
            <a:off x="9807573" y="8372460"/>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Net Change in Cash</a:t>
            </a:r>
          </a:p>
        </xdr:txBody>
      </xdr:sp>
    </xdr:grpSp>
    <xdr:clientData/>
  </xdr:oneCellAnchor>
  <xdr:oneCellAnchor>
    <xdr:from>
      <xdr:col>72</xdr:col>
      <xdr:colOff>86874</xdr:colOff>
      <xdr:row>30</xdr:row>
      <xdr:rowOff>159653</xdr:rowOff>
    </xdr:from>
    <xdr:ext cx="295275" cy="447675"/>
    <xdr:grpSp>
      <xdr:nvGrpSpPr>
        <xdr:cNvPr id="88" name="Node 29: Net Income (Cash Flow)"/>
        <xdr:cNvGrpSpPr/>
      </xdr:nvGrpSpPr>
      <xdr:grpSpPr>
        <a:xfrm>
          <a:off x="8837174" y="5684153"/>
          <a:ext cx="295275" cy="447675"/>
          <a:chOff x="8837174" y="5684153"/>
          <a:chExt cx="295275" cy="447675"/>
        </a:xfrm>
      </xdr:grpSpPr>
      <xdr:sp macro="" textlink="">
        <xdr:nvSpPr>
          <xdr:cNvPr id="89" name="Dot 29: Net Income (Cash Flow)" descr="Net Income on Cash Flow is a calculation with 72 formula references."/>
          <xdr:cNvSpPr/>
        </xdr:nvSpPr>
        <xdr:spPr>
          <a:xfrm>
            <a:off x="8837174" y="5684153"/>
            <a:ext cx="295275" cy="295275"/>
          </a:xfrm>
          <a:prstGeom prst="ellipse">
            <a:avLst/>
          </a:prstGeom>
          <a:solidFill>
            <a:srgbClr val="E07BB0"/>
          </a:solidFill>
          <a:ln w="15875">
            <a:solidFill>
              <a:srgbClr val="121211"/>
            </a:solidFill>
          </a:ln>
        </xdr:spPr>
      </xdr:sp>
      <xdr:sp macro="" textlink="">
        <xdr:nvSpPr>
          <xdr:cNvPr id="90" name="Name 29"/>
          <xdr:cNvSpPr txBox="1"/>
        </xdr:nvSpPr>
        <xdr:spPr>
          <a:xfrm>
            <a:off x="8837174" y="5998478"/>
            <a:ext cx="2952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Net Income (Cash Flow)</a:t>
            </a:r>
          </a:p>
        </xdr:txBody>
      </xdr:sp>
    </xdr:grpSp>
    <xdr:clientData/>
  </xdr:oneCellAnchor>
  <xdr:oneCellAnchor>
    <xdr:from>
      <xdr:col>60</xdr:col>
      <xdr:colOff>75193</xdr:colOff>
      <xdr:row>42</xdr:row>
      <xdr:rowOff>22591</xdr:rowOff>
    </xdr:from>
    <xdr:ext cx="247650" cy="400050"/>
    <xdr:grpSp>
      <xdr:nvGrpSpPr>
        <xdr:cNvPr id="91" name="Node 30: AP (share of monthly costs)"/>
        <xdr:cNvGrpSpPr/>
      </xdr:nvGrpSpPr>
      <xdr:grpSpPr>
        <a:xfrm>
          <a:off x="6844293" y="7833091"/>
          <a:ext cx="247650" cy="400050"/>
          <a:chOff x="6844293" y="7833091"/>
          <a:chExt cx="247650" cy="400050"/>
        </a:xfrm>
      </xdr:grpSpPr>
      <xdr:sp macro="" textlink="">
        <xdr:nvSpPr>
          <xdr:cNvPr id="92" name="Dot 30: AP (share of monthly costs)" descr="AP (share of monthly costs) on Inputs is an input with 36 formula references."/>
          <xdr:cNvSpPr/>
        </xdr:nvSpPr>
        <xdr:spPr>
          <a:xfrm>
            <a:off x="6844293" y="7833091"/>
            <a:ext cx="247650" cy="247650"/>
          </a:xfrm>
          <a:prstGeom prst="ellipse">
            <a:avLst/>
          </a:prstGeom>
          <a:solidFill>
            <a:srgbClr val="C9C34F"/>
          </a:solidFill>
          <a:ln w="15875">
            <a:solidFill>
              <a:srgbClr val="121211"/>
            </a:solidFill>
          </a:ln>
        </xdr:spPr>
      </xdr:sp>
      <xdr:sp macro="" textlink="">
        <xdr:nvSpPr>
          <xdr:cNvPr id="93" name="Name 30"/>
          <xdr:cNvSpPr txBox="1"/>
        </xdr:nvSpPr>
        <xdr:spPr>
          <a:xfrm>
            <a:off x="6844293" y="8099791"/>
            <a:ext cx="24765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AP (share of monthly costs)</a:t>
            </a:r>
          </a:p>
        </xdr:txBody>
      </xdr:sp>
    </xdr:grpSp>
    <xdr:clientData/>
  </xdr:oneCellAnchor>
  <xdr:oneCellAnchor>
    <xdr:from>
      <xdr:col>59</xdr:col>
      <xdr:colOff>55108</xdr:colOff>
      <xdr:row>37</xdr:row>
      <xdr:rowOff>134346</xdr:rowOff>
    </xdr:from>
    <xdr:ext cx="247650" cy="400050"/>
    <xdr:grpSp>
      <xdr:nvGrpSpPr>
        <xdr:cNvPr id="94" name="Node 31: AR (months of revenue)"/>
        <xdr:cNvGrpSpPr/>
      </xdr:nvGrpSpPr>
      <xdr:grpSpPr>
        <a:xfrm>
          <a:off x="6659108" y="6992346"/>
          <a:ext cx="247650" cy="400050"/>
          <a:chOff x="6659108" y="6992346"/>
          <a:chExt cx="247650" cy="400050"/>
        </a:xfrm>
      </xdr:grpSpPr>
      <xdr:sp macro="" textlink="">
        <xdr:nvSpPr>
          <xdr:cNvPr id="95" name="Dot 31: AR (months of revenue)" descr="AR (months of revenue) on Inputs is an input with 36 formula references."/>
          <xdr:cNvSpPr/>
        </xdr:nvSpPr>
        <xdr:spPr>
          <a:xfrm>
            <a:off x="6659108" y="6992346"/>
            <a:ext cx="247650" cy="247650"/>
          </a:xfrm>
          <a:prstGeom prst="ellipse">
            <a:avLst/>
          </a:prstGeom>
          <a:solidFill>
            <a:srgbClr val="C9C34F"/>
          </a:solidFill>
          <a:ln w="15875">
            <a:solidFill>
              <a:srgbClr val="121211"/>
            </a:solidFill>
          </a:ln>
        </xdr:spPr>
      </xdr:sp>
      <xdr:sp macro="" textlink="">
        <xdr:nvSpPr>
          <xdr:cNvPr id="96" name="Name 31"/>
          <xdr:cNvSpPr txBox="1"/>
        </xdr:nvSpPr>
        <xdr:spPr>
          <a:xfrm>
            <a:off x="6659108" y="7259046"/>
            <a:ext cx="24765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AR (months of revenue)</a:t>
            </a:r>
          </a:p>
        </xdr:txBody>
      </xdr:sp>
    </xdr:grpSp>
    <xdr:clientData/>
  </xdr:oneCellAnchor>
  <xdr:oneCellAnchor>
    <xdr:from>
      <xdr:col>46</xdr:col>
      <xdr:colOff>1457</xdr:colOff>
      <xdr:row>40</xdr:row>
      <xdr:rowOff>14451</xdr:rowOff>
    </xdr:from>
    <xdr:ext cx="228600" cy="381000"/>
    <xdr:grpSp>
      <xdr:nvGrpSpPr>
        <xdr:cNvPr id="97" name="Node 32: ARPA per month"/>
        <xdr:cNvGrpSpPr/>
      </xdr:nvGrpSpPr>
      <xdr:grpSpPr>
        <a:xfrm>
          <a:off x="4459157" y="7443951"/>
          <a:ext cx="228600" cy="381000"/>
          <a:chOff x="4459157" y="7443951"/>
          <a:chExt cx="228600" cy="381000"/>
        </a:xfrm>
      </xdr:grpSpPr>
      <xdr:sp macro="" textlink="">
        <xdr:nvSpPr>
          <xdr:cNvPr id="98" name="Dot 32: ARPA per month" descr="ARPA per month on Inputs is an input with 28 formula references."/>
          <xdr:cNvSpPr/>
        </xdr:nvSpPr>
        <xdr:spPr>
          <a:xfrm>
            <a:off x="4459157" y="7443951"/>
            <a:ext cx="228600" cy="228600"/>
          </a:xfrm>
          <a:prstGeom prst="ellipse">
            <a:avLst/>
          </a:prstGeom>
          <a:solidFill>
            <a:srgbClr val="C9C34F"/>
          </a:solidFill>
          <a:ln w="15875">
            <a:solidFill>
              <a:srgbClr val="121211"/>
            </a:solidFill>
          </a:ln>
        </xdr:spPr>
      </xdr:sp>
      <xdr:sp macro="" textlink="">
        <xdr:nvSpPr>
          <xdr:cNvPr id="99" name="Name 32"/>
          <xdr:cNvSpPr txBox="1"/>
        </xdr:nvSpPr>
        <xdr:spPr>
          <a:xfrm>
            <a:off x="4459157" y="7691601"/>
            <a:ext cx="22860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ARPA per month</a:t>
            </a:r>
          </a:p>
        </xdr:txBody>
      </xdr:sp>
    </xdr:grpSp>
    <xdr:clientData/>
  </xdr:oneCellAnchor>
  <xdr:oneCellAnchor>
    <xdr:from>
      <xdr:col>49</xdr:col>
      <xdr:colOff>73707</xdr:colOff>
      <xdr:row>37</xdr:row>
      <xdr:rowOff>20493</xdr:rowOff>
    </xdr:from>
    <xdr:ext cx="228600" cy="381000"/>
    <xdr:grpSp>
      <xdr:nvGrpSpPr>
        <xdr:cNvPr id="100" name="Node 33: CAC per new customer"/>
        <xdr:cNvGrpSpPr/>
      </xdr:nvGrpSpPr>
      <xdr:grpSpPr>
        <a:xfrm>
          <a:off x="5026707" y="6878493"/>
          <a:ext cx="228600" cy="381000"/>
          <a:chOff x="5026707" y="6878493"/>
          <a:chExt cx="228600" cy="381000"/>
        </a:xfrm>
      </xdr:grpSpPr>
      <xdr:sp macro="" textlink="">
        <xdr:nvSpPr>
          <xdr:cNvPr id="101" name="Dot 33: CAC per new customer" descr="CAC per new customer on Inputs is an input with 28 formula references."/>
          <xdr:cNvSpPr/>
        </xdr:nvSpPr>
        <xdr:spPr>
          <a:xfrm>
            <a:off x="5026707" y="6878493"/>
            <a:ext cx="228600" cy="228600"/>
          </a:xfrm>
          <a:prstGeom prst="ellipse">
            <a:avLst/>
          </a:prstGeom>
          <a:solidFill>
            <a:srgbClr val="C9C34F"/>
          </a:solidFill>
          <a:ln w="15875">
            <a:solidFill>
              <a:srgbClr val="121211"/>
            </a:solidFill>
          </a:ln>
        </xdr:spPr>
      </xdr:sp>
      <xdr:sp macro="" textlink="">
        <xdr:nvSpPr>
          <xdr:cNvPr id="102" name="Name 33"/>
          <xdr:cNvSpPr txBox="1"/>
        </xdr:nvSpPr>
        <xdr:spPr>
          <a:xfrm>
            <a:off x="5026707" y="7126143"/>
            <a:ext cx="22860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CAC per new customer</a:t>
            </a:r>
          </a:p>
        </xdr:txBody>
      </xdr:sp>
    </xdr:grpSp>
    <xdr:clientData/>
  </xdr:oneCellAnchor>
  <xdr:oneCellAnchor>
    <xdr:from>
      <xdr:col>56</xdr:col>
      <xdr:colOff>94818</xdr:colOff>
      <xdr:row>35</xdr:row>
      <xdr:rowOff>48787</xdr:rowOff>
    </xdr:from>
    <xdr:ext cx="228600" cy="381000"/>
    <xdr:grpSp>
      <xdr:nvGrpSpPr>
        <xdr:cNvPr id="103" name="Node 34: COGS % of revenue"/>
        <xdr:cNvGrpSpPr/>
      </xdr:nvGrpSpPr>
      <xdr:grpSpPr>
        <a:xfrm>
          <a:off x="6203518" y="6525787"/>
          <a:ext cx="228600" cy="381000"/>
          <a:chOff x="6203518" y="6525787"/>
          <a:chExt cx="228600" cy="381000"/>
        </a:xfrm>
      </xdr:grpSpPr>
      <xdr:sp macro="" textlink="">
        <xdr:nvSpPr>
          <xdr:cNvPr id="104" name="Dot 34: COGS % of revenue" descr="COGS % of revenue on Inputs is an input with 28 formula references."/>
          <xdr:cNvSpPr/>
        </xdr:nvSpPr>
        <xdr:spPr>
          <a:xfrm>
            <a:off x="6203518" y="6525787"/>
            <a:ext cx="228600" cy="228600"/>
          </a:xfrm>
          <a:prstGeom prst="ellipse">
            <a:avLst/>
          </a:prstGeom>
          <a:solidFill>
            <a:srgbClr val="C9C34F"/>
          </a:solidFill>
          <a:ln w="15875">
            <a:solidFill>
              <a:srgbClr val="121211"/>
            </a:solidFill>
          </a:ln>
        </xdr:spPr>
      </xdr:sp>
      <xdr:sp macro="" textlink="">
        <xdr:nvSpPr>
          <xdr:cNvPr id="105" name="Name 34"/>
          <xdr:cNvSpPr txBox="1"/>
        </xdr:nvSpPr>
        <xdr:spPr>
          <a:xfrm>
            <a:off x="6203518" y="6773437"/>
            <a:ext cx="22860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COGS % of revenue</a:t>
            </a:r>
          </a:p>
        </xdr:txBody>
      </xdr:sp>
    </xdr:grpSp>
    <xdr:clientData/>
  </xdr:oneCellAnchor>
  <xdr:oneCellAnchor>
    <xdr:from>
      <xdr:col>66</xdr:col>
      <xdr:colOff>67459</xdr:colOff>
      <xdr:row>28</xdr:row>
      <xdr:rowOff>169062</xdr:rowOff>
    </xdr:from>
    <xdr:ext cx="295275" cy="447675"/>
    <xdr:grpSp>
      <xdr:nvGrpSpPr>
        <xdr:cNvPr id="106" name="Node 35: Capex per month"/>
        <xdr:cNvGrpSpPr/>
      </xdr:nvGrpSpPr>
      <xdr:grpSpPr>
        <a:xfrm>
          <a:off x="7827159" y="5312562"/>
          <a:ext cx="295275" cy="447675"/>
          <a:chOff x="7827159" y="5312562"/>
          <a:chExt cx="295275" cy="447675"/>
        </a:xfrm>
      </xdr:grpSpPr>
      <xdr:sp macro="" textlink="">
        <xdr:nvSpPr>
          <xdr:cNvPr id="107" name="Dot 35: Capex per month" descr="Capex per month on Inputs is an input with 72 formula references."/>
          <xdr:cNvSpPr/>
        </xdr:nvSpPr>
        <xdr:spPr>
          <a:xfrm>
            <a:off x="7827159" y="5312562"/>
            <a:ext cx="295275" cy="295275"/>
          </a:xfrm>
          <a:prstGeom prst="ellipse">
            <a:avLst/>
          </a:prstGeom>
          <a:solidFill>
            <a:srgbClr val="C9C34F"/>
          </a:solidFill>
          <a:ln w="15875">
            <a:solidFill>
              <a:srgbClr val="121211"/>
            </a:solidFill>
          </a:ln>
        </xdr:spPr>
      </xdr:sp>
      <xdr:sp macro="" textlink="">
        <xdr:nvSpPr>
          <xdr:cNvPr id="108" name="Name 35"/>
          <xdr:cNvSpPr txBox="1"/>
        </xdr:nvSpPr>
        <xdr:spPr>
          <a:xfrm>
            <a:off x="7827159" y="5626887"/>
            <a:ext cx="29527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Capex per month</a:t>
            </a:r>
          </a:p>
        </xdr:txBody>
      </xdr:sp>
    </xdr:grpSp>
    <xdr:clientData/>
  </xdr:oneCellAnchor>
  <xdr:oneCellAnchor>
    <xdr:from>
      <xdr:col>59</xdr:col>
      <xdr:colOff>26000</xdr:colOff>
      <xdr:row>27</xdr:row>
      <xdr:rowOff>61780</xdr:rowOff>
    </xdr:from>
    <xdr:ext cx="228600" cy="381000"/>
    <xdr:grpSp>
      <xdr:nvGrpSpPr>
        <xdr:cNvPr id="109" name="Node 36: D&amp;A per month"/>
        <xdr:cNvGrpSpPr/>
      </xdr:nvGrpSpPr>
      <xdr:grpSpPr>
        <a:xfrm>
          <a:off x="6630000" y="5014780"/>
          <a:ext cx="228600" cy="381000"/>
          <a:chOff x="6630000" y="5014780"/>
          <a:chExt cx="228600" cy="381000"/>
        </a:xfrm>
      </xdr:grpSpPr>
      <xdr:sp macro="" textlink="">
        <xdr:nvSpPr>
          <xdr:cNvPr id="110" name="Dot 36: D&amp;A per month" descr="D&amp;A per month on Inputs is an input with 28 formula references."/>
          <xdr:cNvSpPr/>
        </xdr:nvSpPr>
        <xdr:spPr>
          <a:xfrm>
            <a:off x="6630000" y="5014780"/>
            <a:ext cx="228600" cy="228600"/>
          </a:xfrm>
          <a:prstGeom prst="ellipse">
            <a:avLst/>
          </a:prstGeom>
          <a:solidFill>
            <a:srgbClr val="C9C34F"/>
          </a:solidFill>
          <a:ln w="15875">
            <a:solidFill>
              <a:srgbClr val="121211"/>
            </a:solidFill>
          </a:ln>
        </xdr:spPr>
      </xdr:sp>
      <xdr:sp macro="" textlink="">
        <xdr:nvSpPr>
          <xdr:cNvPr id="111" name="Name 36"/>
          <xdr:cNvSpPr txBox="1"/>
        </xdr:nvSpPr>
        <xdr:spPr>
          <a:xfrm>
            <a:off x="6630000" y="5262430"/>
            <a:ext cx="22860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D&amp;A per month</a:t>
            </a:r>
          </a:p>
        </xdr:txBody>
      </xdr:sp>
    </xdr:grpSp>
    <xdr:clientData/>
  </xdr:oneCellAnchor>
  <xdr:oneCellAnchor>
    <xdr:from>
      <xdr:col>44</xdr:col>
      <xdr:colOff>97270</xdr:colOff>
      <xdr:row>26</xdr:row>
      <xdr:rowOff>92216</xdr:rowOff>
    </xdr:from>
    <xdr:ext cx="276225" cy="428625"/>
    <xdr:grpSp>
      <xdr:nvGrpSpPr>
        <xdr:cNvPr id="112" name="Node 37: Engineering"/>
        <xdr:cNvGrpSpPr/>
      </xdr:nvGrpSpPr>
      <xdr:grpSpPr>
        <a:xfrm>
          <a:off x="4224770" y="4854716"/>
          <a:ext cx="276225" cy="428625"/>
          <a:chOff x="4224770" y="4854716"/>
          <a:chExt cx="276225" cy="428625"/>
        </a:xfrm>
      </xdr:grpSpPr>
      <xdr:sp macro="" textlink="">
        <xdr:nvSpPr>
          <xdr:cNvPr id="113" name="Dot 37: Engineering" descr="Engineering on Inputs is an input with 56 formula references."/>
          <xdr:cNvSpPr/>
        </xdr:nvSpPr>
        <xdr:spPr>
          <a:xfrm>
            <a:off x="4224770" y="4854716"/>
            <a:ext cx="276225" cy="276225"/>
          </a:xfrm>
          <a:prstGeom prst="ellipse">
            <a:avLst/>
          </a:prstGeom>
          <a:solidFill>
            <a:srgbClr val="C9C34F"/>
          </a:solidFill>
          <a:ln w="15875">
            <a:solidFill>
              <a:srgbClr val="121211"/>
            </a:solidFill>
          </a:ln>
        </xdr:spPr>
      </xdr:sp>
      <xdr:sp macro="" textlink="">
        <xdr:nvSpPr>
          <xdr:cNvPr id="114" name="Name 37"/>
          <xdr:cNvSpPr txBox="1"/>
        </xdr:nvSpPr>
        <xdr:spPr>
          <a:xfrm>
            <a:off x="4224770" y="5149991"/>
            <a:ext cx="2762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Engineering</a:t>
            </a:r>
          </a:p>
        </xdr:txBody>
      </xdr:sp>
    </xdr:grpSp>
    <xdr:clientData/>
  </xdr:oneCellAnchor>
  <xdr:oneCellAnchor>
    <xdr:from>
      <xdr:col>52</xdr:col>
      <xdr:colOff>12093</xdr:colOff>
      <xdr:row>39</xdr:row>
      <xdr:rowOff>115743</xdr:rowOff>
    </xdr:from>
    <xdr:ext cx="228600" cy="381000"/>
    <xdr:grpSp>
      <xdr:nvGrpSpPr>
        <xdr:cNvPr id="115" name="Node 38: Fixed G&amp;A per month"/>
        <xdr:cNvGrpSpPr/>
      </xdr:nvGrpSpPr>
      <xdr:grpSpPr>
        <a:xfrm>
          <a:off x="5460393" y="7354743"/>
          <a:ext cx="228600" cy="381000"/>
          <a:chOff x="5460393" y="7354743"/>
          <a:chExt cx="228600" cy="381000"/>
        </a:xfrm>
      </xdr:grpSpPr>
      <xdr:sp macro="" textlink="">
        <xdr:nvSpPr>
          <xdr:cNvPr id="116" name="Dot 38: Fixed G&amp;A per month" descr="Fixed G&amp;A per month on Inputs is an input with 27 formula references."/>
          <xdr:cNvSpPr/>
        </xdr:nvSpPr>
        <xdr:spPr>
          <a:xfrm>
            <a:off x="5460393" y="7354743"/>
            <a:ext cx="228600" cy="228600"/>
          </a:xfrm>
          <a:prstGeom prst="ellipse">
            <a:avLst/>
          </a:prstGeom>
          <a:solidFill>
            <a:srgbClr val="C9C34F"/>
          </a:solidFill>
          <a:ln w="15875">
            <a:solidFill>
              <a:srgbClr val="121211"/>
            </a:solidFill>
          </a:ln>
        </xdr:spPr>
      </xdr:sp>
      <xdr:sp macro="" textlink="">
        <xdr:nvSpPr>
          <xdr:cNvPr id="117" name="Name 38"/>
          <xdr:cNvSpPr txBox="1"/>
        </xdr:nvSpPr>
        <xdr:spPr>
          <a:xfrm>
            <a:off x="5460393" y="7602393"/>
            <a:ext cx="22860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Fixed G&amp;A per month</a:t>
            </a:r>
          </a:p>
        </xdr:txBody>
      </xdr:sp>
    </xdr:grpSp>
    <xdr:clientData/>
  </xdr:oneCellAnchor>
  <xdr:oneCellAnchor>
    <xdr:from>
      <xdr:col>40</xdr:col>
      <xdr:colOff>84881</xdr:colOff>
      <xdr:row>29</xdr:row>
      <xdr:rowOff>39439</xdr:rowOff>
    </xdr:from>
    <xdr:ext cx="276225" cy="428625"/>
    <xdr:grpSp>
      <xdr:nvGrpSpPr>
        <xdr:cNvPr id="118" name="Node 39: G&amp;A (Inputs)"/>
        <xdr:cNvGrpSpPr/>
      </xdr:nvGrpSpPr>
      <xdr:grpSpPr>
        <a:xfrm>
          <a:off x="3551981" y="5373439"/>
          <a:ext cx="276225" cy="428625"/>
          <a:chOff x="3551981" y="5373439"/>
          <a:chExt cx="276225" cy="428625"/>
        </a:xfrm>
      </xdr:grpSpPr>
      <xdr:sp macro="" textlink="">
        <xdr:nvSpPr>
          <xdr:cNvPr id="119" name="Dot 39: G&amp;A (Inputs)" descr="G&amp;A on Inputs is an input with 56 formula references."/>
          <xdr:cNvSpPr/>
        </xdr:nvSpPr>
        <xdr:spPr>
          <a:xfrm>
            <a:off x="3551981" y="5373439"/>
            <a:ext cx="276225" cy="276225"/>
          </a:xfrm>
          <a:prstGeom prst="ellipse">
            <a:avLst/>
          </a:prstGeom>
          <a:solidFill>
            <a:srgbClr val="C9C34F"/>
          </a:solidFill>
          <a:ln w="15875">
            <a:solidFill>
              <a:srgbClr val="121211"/>
            </a:solidFill>
          </a:ln>
        </xdr:spPr>
      </xdr:sp>
      <xdr:sp macro="" textlink="">
        <xdr:nvSpPr>
          <xdr:cNvPr id="120" name="Name 39"/>
          <xdr:cNvSpPr txBox="1"/>
        </xdr:nvSpPr>
        <xdr:spPr>
          <a:xfrm>
            <a:off x="3551981" y="5668714"/>
            <a:ext cx="2762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G&amp;A (Inputs)</a:t>
            </a:r>
          </a:p>
        </xdr:txBody>
      </xdr:sp>
    </xdr:grpSp>
    <xdr:clientData/>
  </xdr:oneCellAnchor>
  <xdr:oneCellAnchor>
    <xdr:from>
      <xdr:col>47</xdr:col>
      <xdr:colOff>1553</xdr:colOff>
      <xdr:row>34</xdr:row>
      <xdr:rowOff>81772</xdr:rowOff>
    </xdr:from>
    <xdr:ext cx="228600" cy="381000"/>
    <xdr:grpSp>
      <xdr:nvGrpSpPr>
        <xdr:cNvPr id="121" name="Node 40: Growth"/>
        <xdr:cNvGrpSpPr/>
      </xdr:nvGrpSpPr>
      <xdr:grpSpPr>
        <a:xfrm>
          <a:off x="4624353" y="6368272"/>
          <a:ext cx="228600" cy="381000"/>
          <a:chOff x="4624353" y="6368272"/>
          <a:chExt cx="228600" cy="381000"/>
        </a:xfrm>
      </xdr:grpSpPr>
      <xdr:sp macro="" textlink="">
        <xdr:nvSpPr>
          <xdr:cNvPr id="122" name="Dot 40: Growth" descr="Growth on Inputs is an input with 27 formula references."/>
          <xdr:cNvSpPr/>
        </xdr:nvSpPr>
        <xdr:spPr>
          <a:xfrm>
            <a:off x="4624353" y="6368272"/>
            <a:ext cx="228600" cy="228600"/>
          </a:xfrm>
          <a:prstGeom prst="ellipse">
            <a:avLst/>
          </a:prstGeom>
          <a:solidFill>
            <a:srgbClr val="C9C34F"/>
          </a:solidFill>
          <a:ln w="15875">
            <a:solidFill>
              <a:srgbClr val="121211"/>
            </a:solidFill>
          </a:ln>
        </xdr:spPr>
      </xdr:sp>
      <xdr:sp macro="" textlink="">
        <xdr:nvSpPr>
          <xdr:cNvPr id="123" name="Name 40"/>
          <xdr:cNvSpPr txBox="1"/>
        </xdr:nvSpPr>
        <xdr:spPr>
          <a:xfrm>
            <a:off x="4624353" y="6615922"/>
            <a:ext cx="22860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Growth</a:t>
            </a:r>
          </a:p>
        </xdr:txBody>
      </xdr:sp>
    </xdr:grpSp>
    <xdr:clientData/>
  </xdr:oneCellAnchor>
  <xdr:oneCellAnchor>
    <xdr:from>
      <xdr:col>43</xdr:col>
      <xdr:colOff>71695</xdr:colOff>
      <xdr:row>37</xdr:row>
      <xdr:rowOff>109306</xdr:rowOff>
    </xdr:from>
    <xdr:ext cx="238125" cy="390525"/>
    <xdr:grpSp>
      <xdr:nvGrpSpPr>
        <xdr:cNvPr id="124" name="Node 41: Monthly churn"/>
        <xdr:cNvGrpSpPr/>
      </xdr:nvGrpSpPr>
      <xdr:grpSpPr>
        <a:xfrm>
          <a:off x="4034095" y="6967306"/>
          <a:ext cx="238125" cy="390525"/>
          <a:chOff x="4034095" y="6967306"/>
          <a:chExt cx="238125" cy="390525"/>
        </a:xfrm>
      </xdr:grpSpPr>
      <xdr:sp macro="" textlink="">
        <xdr:nvSpPr>
          <xdr:cNvPr id="125" name="Dot 41: Monthly churn" descr="Monthly churn on Inputs is an input with 29 formula references."/>
          <xdr:cNvSpPr/>
        </xdr:nvSpPr>
        <xdr:spPr>
          <a:xfrm>
            <a:off x="4034095" y="6967306"/>
            <a:ext cx="238125" cy="238125"/>
          </a:xfrm>
          <a:prstGeom prst="ellipse">
            <a:avLst/>
          </a:prstGeom>
          <a:solidFill>
            <a:srgbClr val="C9C34F"/>
          </a:solidFill>
          <a:ln w="15875">
            <a:solidFill>
              <a:srgbClr val="121211"/>
            </a:solidFill>
          </a:ln>
        </xdr:spPr>
      </xdr:sp>
      <xdr:sp macro="" textlink="">
        <xdr:nvSpPr>
          <xdr:cNvPr id="126" name="Name 41"/>
          <xdr:cNvSpPr txBox="1"/>
        </xdr:nvSpPr>
        <xdr:spPr>
          <a:xfrm>
            <a:off x="4034095" y="7224481"/>
            <a:ext cx="2381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Monthly churn</a:t>
            </a:r>
          </a:p>
        </xdr:txBody>
      </xdr:sp>
    </xdr:grpSp>
    <xdr:clientData/>
  </xdr:oneCellAnchor>
  <xdr:oneCellAnchor>
    <xdr:from>
      <xdr:col>65</xdr:col>
      <xdr:colOff>23358</xdr:colOff>
      <xdr:row>38</xdr:row>
      <xdr:rowOff>103172</xdr:rowOff>
    </xdr:from>
    <xdr:ext cx="152400" cy="285750"/>
    <xdr:grpSp>
      <xdr:nvGrpSpPr>
        <xdr:cNvPr id="127" name="Node 42: Opening AP"/>
        <xdr:cNvGrpSpPr/>
      </xdr:nvGrpSpPr>
      <xdr:grpSpPr>
        <a:xfrm>
          <a:off x="7617958" y="7151672"/>
          <a:ext cx="152400" cy="285750"/>
          <a:chOff x="7617958" y="7151672"/>
          <a:chExt cx="152400" cy="285750"/>
        </a:xfrm>
      </xdr:grpSpPr>
      <xdr:sp macro="" textlink="">
        <xdr:nvSpPr>
          <xdr:cNvPr id="128" name="Dot 42: Opening AP" descr="Opening AP on Inputs is an input with 2 formula references."/>
          <xdr:cNvSpPr/>
        </xdr:nvSpPr>
        <xdr:spPr>
          <a:xfrm>
            <a:off x="7617958" y="7151672"/>
            <a:ext cx="152400" cy="152400"/>
          </a:xfrm>
          <a:prstGeom prst="ellipse">
            <a:avLst/>
          </a:prstGeom>
          <a:solidFill>
            <a:srgbClr val="C9C34F"/>
          </a:solidFill>
          <a:ln w="15875">
            <a:solidFill>
              <a:srgbClr val="121211"/>
            </a:solidFill>
          </a:ln>
        </xdr:spPr>
      </xdr:sp>
      <xdr:sp macro="" textlink="">
        <xdr:nvSpPr>
          <xdr:cNvPr id="129" name="Name 42"/>
          <xdr:cNvSpPr txBox="1"/>
        </xdr:nvSpPr>
        <xdr:spPr>
          <a:xfrm>
            <a:off x="7617958" y="7323122"/>
            <a:ext cx="152400"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9C9A93"/>
                </a:solidFill>
                <a:effectLst>
                  <a:glow rad="38100">
                    <a:srgbClr val="121211">
                      <a:alpha val="85000"/>
                    </a:srgbClr>
                  </a:glow>
                </a:effectLst>
                <a:latin typeface="Calibri"/>
                <a:cs typeface="Calibri"/>
              </a:rPr>
              <a:t>Opening AP</a:t>
            </a:r>
          </a:p>
        </xdr:txBody>
      </xdr:sp>
    </xdr:grpSp>
    <xdr:clientData/>
  </xdr:oneCellAnchor>
  <xdr:oneCellAnchor>
    <xdr:from>
      <xdr:col>63</xdr:col>
      <xdr:colOff>105724</xdr:colOff>
      <xdr:row>31</xdr:row>
      <xdr:rowOff>140487</xdr:rowOff>
    </xdr:from>
    <xdr:ext cx="152400" cy="285750"/>
    <xdr:grpSp>
      <xdr:nvGrpSpPr>
        <xdr:cNvPr id="130" name="Node 43: Opening AR"/>
        <xdr:cNvGrpSpPr/>
      </xdr:nvGrpSpPr>
      <xdr:grpSpPr>
        <a:xfrm>
          <a:off x="7370124" y="5855487"/>
          <a:ext cx="152400" cy="285750"/>
          <a:chOff x="7370124" y="5855487"/>
          <a:chExt cx="152400" cy="285750"/>
        </a:xfrm>
      </xdr:grpSpPr>
      <xdr:sp macro="" textlink="">
        <xdr:nvSpPr>
          <xdr:cNvPr id="131" name="Dot 43: Opening AR" descr="Opening AR on Inputs is an input with 2 formula references."/>
          <xdr:cNvSpPr/>
        </xdr:nvSpPr>
        <xdr:spPr>
          <a:xfrm>
            <a:off x="7370124" y="5855487"/>
            <a:ext cx="152400" cy="152400"/>
          </a:xfrm>
          <a:prstGeom prst="ellipse">
            <a:avLst/>
          </a:prstGeom>
          <a:solidFill>
            <a:srgbClr val="C9C34F"/>
          </a:solidFill>
          <a:ln w="15875">
            <a:solidFill>
              <a:srgbClr val="121211"/>
            </a:solidFill>
          </a:ln>
        </xdr:spPr>
      </xdr:sp>
      <xdr:sp macro="" textlink="">
        <xdr:nvSpPr>
          <xdr:cNvPr id="132" name="Name 43"/>
          <xdr:cNvSpPr txBox="1"/>
        </xdr:nvSpPr>
        <xdr:spPr>
          <a:xfrm>
            <a:off x="7370124" y="6026937"/>
            <a:ext cx="152400"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9C9A93"/>
                </a:solidFill>
                <a:effectLst>
                  <a:glow rad="38100">
                    <a:srgbClr val="121211">
                      <a:alpha val="85000"/>
                    </a:srgbClr>
                  </a:glow>
                </a:effectLst>
                <a:latin typeface="Calibri"/>
                <a:cs typeface="Calibri"/>
              </a:rPr>
              <a:t>Opening AR</a:t>
            </a:r>
          </a:p>
        </xdr:txBody>
      </xdr:sp>
    </xdr:grpSp>
    <xdr:clientData/>
  </xdr:oneCellAnchor>
  <xdr:oneCellAnchor>
    <xdr:from>
      <xdr:col>51</xdr:col>
      <xdr:colOff>107487</xdr:colOff>
      <xdr:row>35</xdr:row>
      <xdr:rowOff>57453</xdr:rowOff>
    </xdr:from>
    <xdr:ext cx="123825" cy="257175"/>
    <xdr:grpSp>
      <xdr:nvGrpSpPr>
        <xdr:cNvPr id="133" name="Node 44: Opening PP&amp;E"/>
        <xdr:cNvGrpSpPr/>
      </xdr:nvGrpSpPr>
      <xdr:grpSpPr>
        <a:xfrm>
          <a:off x="5390687" y="6534453"/>
          <a:ext cx="123825" cy="257175"/>
          <a:chOff x="5390687" y="6534453"/>
          <a:chExt cx="123825" cy="257175"/>
        </a:xfrm>
      </xdr:grpSpPr>
      <xdr:sp macro="" textlink="">
        <xdr:nvSpPr>
          <xdr:cNvPr id="134" name="Dot 44: Opening PP&amp;E" descr="Opening PP&amp;E on Inputs is an input with 0 formula references."/>
          <xdr:cNvSpPr/>
        </xdr:nvSpPr>
        <xdr:spPr>
          <a:xfrm>
            <a:off x="5390687" y="6534453"/>
            <a:ext cx="123825" cy="123825"/>
          </a:xfrm>
          <a:prstGeom prst="ellipse">
            <a:avLst/>
          </a:prstGeom>
          <a:solidFill>
            <a:srgbClr val="C9C34F"/>
          </a:solidFill>
          <a:ln w="15875">
            <a:solidFill>
              <a:srgbClr val="121211"/>
            </a:solidFill>
          </a:ln>
        </xdr:spPr>
      </xdr:sp>
      <xdr:sp macro="" textlink="">
        <xdr:nvSpPr>
          <xdr:cNvPr id="135" name="Name 44"/>
          <xdr:cNvSpPr txBox="1"/>
        </xdr:nvSpPr>
        <xdr:spPr>
          <a:xfrm>
            <a:off x="5390687" y="6677328"/>
            <a:ext cx="123825"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9C9A93"/>
                </a:solidFill>
                <a:effectLst>
                  <a:glow rad="38100">
                    <a:srgbClr val="121211">
                      <a:alpha val="85000"/>
                    </a:srgbClr>
                  </a:glow>
                </a:effectLst>
                <a:latin typeface="Calibri"/>
                <a:cs typeface="Calibri"/>
              </a:rPr>
              <a:t>Opening PP&amp;E</a:t>
            </a:r>
          </a:p>
        </xdr:txBody>
      </xdr:sp>
    </xdr:grpSp>
    <xdr:clientData/>
  </xdr:oneCellAnchor>
  <xdr:oneCellAnchor>
    <xdr:from>
      <xdr:col>61</xdr:col>
      <xdr:colOff>108306</xdr:colOff>
      <xdr:row>29</xdr:row>
      <xdr:rowOff>150009</xdr:rowOff>
    </xdr:from>
    <xdr:ext cx="152400" cy="285750"/>
    <xdr:grpSp>
      <xdr:nvGrpSpPr>
        <xdr:cNvPr id="136" name="Node 45: Opening PP&amp;E, net"/>
        <xdr:cNvGrpSpPr/>
      </xdr:nvGrpSpPr>
      <xdr:grpSpPr>
        <a:xfrm>
          <a:off x="7042506" y="5484009"/>
          <a:ext cx="152400" cy="285750"/>
          <a:chOff x="7042506" y="5484009"/>
          <a:chExt cx="152400" cy="285750"/>
        </a:xfrm>
      </xdr:grpSpPr>
      <xdr:sp macro="" textlink="">
        <xdr:nvSpPr>
          <xdr:cNvPr id="137" name="Dot 45: Opening PP&amp;E, net" descr="Opening PP&amp;E, net on Inputs is an input with 2 formula references."/>
          <xdr:cNvSpPr/>
        </xdr:nvSpPr>
        <xdr:spPr>
          <a:xfrm>
            <a:off x="7042506" y="5484009"/>
            <a:ext cx="152400" cy="152400"/>
          </a:xfrm>
          <a:prstGeom prst="ellipse">
            <a:avLst/>
          </a:prstGeom>
          <a:solidFill>
            <a:srgbClr val="C9C34F"/>
          </a:solidFill>
          <a:ln w="15875">
            <a:solidFill>
              <a:srgbClr val="121211"/>
            </a:solidFill>
          </a:ln>
        </xdr:spPr>
      </xdr:sp>
      <xdr:sp macro="" textlink="">
        <xdr:nvSpPr>
          <xdr:cNvPr id="138" name="Name 45"/>
          <xdr:cNvSpPr txBox="1"/>
        </xdr:nvSpPr>
        <xdr:spPr>
          <a:xfrm>
            <a:off x="7042506" y="5655459"/>
            <a:ext cx="152400"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9C9A93"/>
                </a:solidFill>
                <a:effectLst>
                  <a:glow rad="38100">
                    <a:srgbClr val="121211">
                      <a:alpha val="85000"/>
                    </a:srgbClr>
                  </a:glow>
                </a:effectLst>
                <a:latin typeface="Calibri"/>
                <a:cs typeface="Calibri"/>
              </a:rPr>
              <a:t>Opening PP&amp;E, net</a:t>
            </a:r>
          </a:p>
        </xdr:txBody>
      </xdr:sp>
    </xdr:grpSp>
    <xdr:clientData/>
  </xdr:oneCellAnchor>
  <xdr:oneCellAnchor>
    <xdr:from>
      <xdr:col>57</xdr:col>
      <xdr:colOff>114117</xdr:colOff>
      <xdr:row>40</xdr:row>
      <xdr:rowOff>47535</xdr:rowOff>
    </xdr:from>
    <xdr:ext cx="152400" cy="285750"/>
    <xdr:grpSp>
      <xdr:nvGrpSpPr>
        <xdr:cNvPr id="139" name="Node 46: Opening cash"/>
        <xdr:cNvGrpSpPr/>
      </xdr:nvGrpSpPr>
      <xdr:grpSpPr>
        <a:xfrm>
          <a:off x="6387917" y="7477035"/>
          <a:ext cx="152400" cy="285750"/>
          <a:chOff x="6387917" y="7477035"/>
          <a:chExt cx="152400" cy="285750"/>
        </a:xfrm>
      </xdr:grpSpPr>
      <xdr:sp macro="" textlink="">
        <xdr:nvSpPr>
          <xdr:cNvPr id="140" name="Dot 46: Opening cash" descr="Opening cash on Inputs is an input with 2 formula references."/>
          <xdr:cNvSpPr/>
        </xdr:nvSpPr>
        <xdr:spPr>
          <a:xfrm>
            <a:off x="6387917" y="7477035"/>
            <a:ext cx="152400" cy="152400"/>
          </a:xfrm>
          <a:prstGeom prst="ellipse">
            <a:avLst/>
          </a:prstGeom>
          <a:solidFill>
            <a:srgbClr val="C9C34F"/>
          </a:solidFill>
          <a:ln w="15875">
            <a:solidFill>
              <a:srgbClr val="121211"/>
            </a:solidFill>
          </a:ln>
        </xdr:spPr>
      </xdr:sp>
      <xdr:sp macro="" textlink="">
        <xdr:nvSpPr>
          <xdr:cNvPr id="141" name="Name 46"/>
          <xdr:cNvSpPr txBox="1"/>
        </xdr:nvSpPr>
        <xdr:spPr>
          <a:xfrm>
            <a:off x="6387917" y="7648485"/>
            <a:ext cx="152400"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9C9A93"/>
                </a:solidFill>
                <a:effectLst>
                  <a:glow rad="38100">
                    <a:srgbClr val="121211">
                      <a:alpha val="85000"/>
                    </a:srgbClr>
                  </a:glow>
                </a:effectLst>
                <a:latin typeface="Calibri"/>
                <a:cs typeface="Calibri"/>
              </a:rPr>
              <a:t>Opening cash</a:t>
            </a:r>
          </a:p>
        </xdr:txBody>
      </xdr:sp>
    </xdr:grpSp>
    <xdr:clientData/>
  </xdr:oneCellAnchor>
  <xdr:oneCellAnchor>
    <xdr:from>
      <xdr:col>67</xdr:col>
      <xdr:colOff>644</xdr:colOff>
      <xdr:row>33</xdr:row>
      <xdr:rowOff>123187</xdr:rowOff>
    </xdr:from>
    <xdr:ext cx="152400" cy="285750"/>
    <xdr:grpSp>
      <xdr:nvGrpSpPr>
        <xdr:cNvPr id="142" name="Node 47: Opening paid-in capital"/>
        <xdr:cNvGrpSpPr/>
      </xdr:nvGrpSpPr>
      <xdr:grpSpPr>
        <a:xfrm>
          <a:off x="7925444" y="6219187"/>
          <a:ext cx="152400" cy="285750"/>
          <a:chOff x="7925444" y="6219187"/>
          <a:chExt cx="152400" cy="285750"/>
        </a:xfrm>
      </xdr:grpSpPr>
      <xdr:sp macro="" textlink="">
        <xdr:nvSpPr>
          <xdr:cNvPr id="143" name="Dot 47: Opening paid-in capital" descr="Opening paid-in capital on Inputs is an input with 2 formula references."/>
          <xdr:cNvSpPr/>
        </xdr:nvSpPr>
        <xdr:spPr>
          <a:xfrm>
            <a:off x="7925444" y="6219187"/>
            <a:ext cx="152400" cy="152400"/>
          </a:xfrm>
          <a:prstGeom prst="ellipse">
            <a:avLst/>
          </a:prstGeom>
          <a:solidFill>
            <a:srgbClr val="C9C34F"/>
          </a:solidFill>
          <a:ln w="15875">
            <a:solidFill>
              <a:srgbClr val="121211"/>
            </a:solidFill>
          </a:ln>
        </xdr:spPr>
      </xdr:sp>
      <xdr:sp macro="" textlink="">
        <xdr:nvSpPr>
          <xdr:cNvPr id="144" name="Name 47"/>
          <xdr:cNvSpPr txBox="1"/>
        </xdr:nvSpPr>
        <xdr:spPr>
          <a:xfrm>
            <a:off x="7925444" y="6390637"/>
            <a:ext cx="152400"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9C9A93"/>
                </a:solidFill>
                <a:effectLst>
                  <a:glow rad="38100">
                    <a:srgbClr val="121211">
                      <a:alpha val="85000"/>
                    </a:srgbClr>
                  </a:glow>
                </a:effectLst>
                <a:latin typeface="Calibri"/>
                <a:cs typeface="Calibri"/>
              </a:rPr>
              <a:t>Opening paid-in capital</a:t>
            </a:r>
          </a:p>
        </xdr:txBody>
      </xdr:sp>
    </xdr:grpSp>
    <xdr:clientData/>
  </xdr:oneCellAnchor>
  <xdr:oneCellAnchor>
    <xdr:from>
      <xdr:col>63</xdr:col>
      <xdr:colOff>58067</xdr:colOff>
      <xdr:row>35</xdr:row>
      <xdr:rowOff>123187</xdr:rowOff>
    </xdr:from>
    <xdr:ext cx="171450" cy="304800"/>
    <xdr:grpSp>
      <xdr:nvGrpSpPr>
        <xdr:cNvPr id="145" name="Node 48: Opening retained earnings"/>
        <xdr:cNvGrpSpPr/>
      </xdr:nvGrpSpPr>
      <xdr:grpSpPr>
        <a:xfrm>
          <a:off x="7322467" y="6600187"/>
          <a:ext cx="171450" cy="304800"/>
          <a:chOff x="7322467" y="6600187"/>
          <a:chExt cx="171450" cy="304800"/>
        </a:xfrm>
      </xdr:grpSpPr>
      <xdr:sp macro="" textlink="">
        <xdr:nvSpPr>
          <xdr:cNvPr id="146" name="Dot 48: Opening retained earnings" descr="Opening retained earnings on Inputs is a calculation with 6 formula references."/>
          <xdr:cNvSpPr/>
        </xdr:nvSpPr>
        <xdr:spPr>
          <a:xfrm>
            <a:off x="7322467" y="6600187"/>
            <a:ext cx="171450" cy="171450"/>
          </a:xfrm>
          <a:prstGeom prst="ellipse">
            <a:avLst/>
          </a:prstGeom>
          <a:solidFill>
            <a:srgbClr val="C9C34F"/>
          </a:solidFill>
          <a:ln w="15875">
            <a:solidFill>
              <a:srgbClr val="121211"/>
            </a:solidFill>
          </a:ln>
        </xdr:spPr>
      </xdr:sp>
      <xdr:sp macro="" textlink="">
        <xdr:nvSpPr>
          <xdr:cNvPr id="147" name="Name 48"/>
          <xdr:cNvSpPr txBox="1"/>
        </xdr:nvSpPr>
        <xdr:spPr>
          <a:xfrm>
            <a:off x="7322467" y="6790687"/>
            <a:ext cx="171450"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E6E4DE"/>
                </a:solidFill>
                <a:effectLst>
                  <a:glow rad="38100">
                    <a:srgbClr val="121211">
                      <a:alpha val="85000"/>
                    </a:srgbClr>
                  </a:glow>
                </a:effectLst>
                <a:latin typeface="Calibri"/>
                <a:cs typeface="Calibri"/>
              </a:rPr>
              <a:t>Opening retained earnings</a:t>
            </a:r>
          </a:p>
        </xdr:txBody>
      </xdr:sp>
    </xdr:grpSp>
    <xdr:clientData/>
  </xdr:oneCellAnchor>
  <xdr:oneCellAnchor>
    <xdr:from>
      <xdr:col>44</xdr:col>
      <xdr:colOff>9820</xdr:colOff>
      <xdr:row>33</xdr:row>
      <xdr:rowOff>10679</xdr:rowOff>
    </xdr:from>
    <xdr:ext cx="276225" cy="428625"/>
    <xdr:grpSp>
      <xdr:nvGrpSpPr>
        <xdr:cNvPr id="148" name="Node 49: Sales"/>
        <xdr:cNvGrpSpPr/>
      </xdr:nvGrpSpPr>
      <xdr:grpSpPr>
        <a:xfrm>
          <a:off x="4137320" y="6106679"/>
          <a:ext cx="276225" cy="428625"/>
          <a:chOff x="4137320" y="6106679"/>
          <a:chExt cx="276225" cy="428625"/>
        </a:xfrm>
      </xdr:grpSpPr>
      <xdr:sp macro="" textlink="">
        <xdr:nvSpPr>
          <xdr:cNvPr id="149" name="Dot 49: Sales" descr="Sales on Inputs is an input with 56 formula references."/>
          <xdr:cNvSpPr/>
        </xdr:nvSpPr>
        <xdr:spPr>
          <a:xfrm>
            <a:off x="4137320" y="6106679"/>
            <a:ext cx="276225" cy="276225"/>
          </a:xfrm>
          <a:prstGeom prst="ellipse">
            <a:avLst/>
          </a:prstGeom>
          <a:solidFill>
            <a:srgbClr val="C9C34F"/>
          </a:solidFill>
          <a:ln w="15875">
            <a:solidFill>
              <a:srgbClr val="121211"/>
            </a:solidFill>
          </a:ln>
        </xdr:spPr>
      </xdr:sp>
      <xdr:sp macro="" textlink="">
        <xdr:nvSpPr>
          <xdr:cNvPr id="150" name="Name 49"/>
          <xdr:cNvSpPr txBox="1"/>
        </xdr:nvSpPr>
        <xdr:spPr>
          <a:xfrm>
            <a:off x="4137320" y="6401954"/>
            <a:ext cx="2762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Sales</a:t>
            </a:r>
          </a:p>
        </xdr:txBody>
      </xdr:sp>
    </xdr:grpSp>
    <xdr:clientData/>
  </xdr:oneCellAnchor>
  <xdr:oneCellAnchor>
    <xdr:from>
      <xdr:col>43</xdr:col>
      <xdr:colOff>131319</xdr:colOff>
      <xdr:row>35</xdr:row>
      <xdr:rowOff>145635</xdr:rowOff>
    </xdr:from>
    <xdr:ext cx="123825" cy="257175"/>
    <xdr:grpSp>
      <xdr:nvGrpSpPr>
        <xdr:cNvPr id="151" name="Node 50: Starting MRR"/>
        <xdr:cNvGrpSpPr/>
      </xdr:nvGrpSpPr>
      <xdr:grpSpPr>
        <a:xfrm>
          <a:off x="4093719" y="6622635"/>
          <a:ext cx="123825" cy="257175"/>
          <a:chOff x="4093719" y="6622635"/>
          <a:chExt cx="123825" cy="257175"/>
        </a:xfrm>
      </xdr:grpSpPr>
      <xdr:sp macro="" textlink="">
        <xdr:nvSpPr>
          <xdr:cNvPr id="152" name="Dot 50: Starting MRR" descr="Starting MRR on Inputs is an input with 0 formula references."/>
          <xdr:cNvSpPr/>
        </xdr:nvSpPr>
        <xdr:spPr>
          <a:xfrm>
            <a:off x="4093719" y="6622635"/>
            <a:ext cx="123825" cy="123825"/>
          </a:xfrm>
          <a:prstGeom prst="ellipse">
            <a:avLst/>
          </a:prstGeom>
          <a:solidFill>
            <a:srgbClr val="C9C34F"/>
          </a:solidFill>
          <a:ln w="15875">
            <a:solidFill>
              <a:srgbClr val="121211"/>
            </a:solidFill>
          </a:ln>
        </xdr:spPr>
      </xdr:sp>
      <xdr:sp macro="" textlink="">
        <xdr:nvSpPr>
          <xdr:cNvPr id="153" name="Name 50"/>
          <xdr:cNvSpPr txBox="1"/>
        </xdr:nvSpPr>
        <xdr:spPr>
          <a:xfrm>
            <a:off x="4093719" y="6765510"/>
            <a:ext cx="123825" cy="114300"/>
          </a:xfrm>
          <a:prstGeom prst="rect">
            <a:avLst/>
          </a:prstGeom>
          <a:noFill/>
          <a:ln>
            <a:noFill/>
          </a:ln>
        </xdr:spPr>
        <xdr:txBody>
          <a:bodyPr wrap="none" lIns="0" tIns="0" rIns="0" bIns="0" anchor="t" rtlCol="0" vertOverflow="overflow" horzOverflow="overflow">
            <a:noAutofit/>
          </a:bodyPr>
          <a:lstStyle/>
          <a:p>
            <a:pPr algn="ctr"/>
            <a:r>
              <a:rPr lang="en-US" sz="750" dirty="0">
                <a:solidFill>
                  <a:srgbClr val="9C9A93"/>
                </a:solidFill>
                <a:effectLst>
                  <a:glow rad="38100">
                    <a:srgbClr val="121211">
                      <a:alpha val="85000"/>
                    </a:srgbClr>
                  </a:glow>
                </a:effectLst>
                <a:latin typeface="Calibri"/>
                <a:cs typeface="Calibri"/>
              </a:rPr>
              <a:t>Starting MRR</a:t>
            </a:r>
          </a:p>
        </xdr:txBody>
      </xdr:sp>
    </xdr:grpSp>
    <xdr:clientData/>
  </xdr:oneCellAnchor>
  <xdr:oneCellAnchor>
    <xdr:from>
      <xdr:col>56</xdr:col>
      <xdr:colOff>325</xdr:colOff>
      <xdr:row>24</xdr:row>
      <xdr:rowOff>163827</xdr:rowOff>
    </xdr:from>
    <xdr:ext cx="228600" cy="381000"/>
    <xdr:grpSp>
      <xdr:nvGrpSpPr>
        <xdr:cNvPr id="154" name="Node 51: Tax rate"/>
        <xdr:cNvGrpSpPr/>
      </xdr:nvGrpSpPr>
      <xdr:grpSpPr>
        <a:xfrm>
          <a:off x="6109025" y="4545327"/>
          <a:ext cx="228600" cy="381000"/>
          <a:chOff x="6109025" y="4545327"/>
          <a:chExt cx="228600" cy="381000"/>
        </a:xfrm>
      </xdr:grpSpPr>
      <xdr:sp macro="" textlink="">
        <xdr:nvSpPr>
          <xdr:cNvPr id="155" name="Dot 51: Tax rate" descr="Tax rate on Inputs is an input with 28 formula references."/>
          <xdr:cNvSpPr/>
        </xdr:nvSpPr>
        <xdr:spPr>
          <a:xfrm>
            <a:off x="6109025" y="4545327"/>
            <a:ext cx="228600" cy="228600"/>
          </a:xfrm>
          <a:prstGeom prst="ellipse">
            <a:avLst/>
          </a:prstGeom>
          <a:solidFill>
            <a:srgbClr val="C9C34F"/>
          </a:solidFill>
          <a:ln w="15875">
            <a:solidFill>
              <a:srgbClr val="121211"/>
            </a:solidFill>
          </a:ln>
        </xdr:spPr>
      </xdr:sp>
      <xdr:sp macro="" textlink="">
        <xdr:nvSpPr>
          <xdr:cNvPr id="156" name="Name 51"/>
          <xdr:cNvSpPr txBox="1"/>
        </xdr:nvSpPr>
        <xdr:spPr>
          <a:xfrm>
            <a:off x="6109025" y="4792977"/>
            <a:ext cx="22860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Tax rate</a:t>
            </a:r>
          </a:p>
        </xdr:txBody>
      </xdr:sp>
    </xdr:grpSp>
    <xdr:clientData/>
  </xdr:oneCellAnchor>
  <xdr:oneCellAnchor>
    <xdr:from>
      <xdr:col>59</xdr:col>
      <xdr:colOff>98141</xdr:colOff>
      <xdr:row>19</xdr:row>
      <xdr:rowOff>181628</xdr:rowOff>
    </xdr:from>
    <xdr:ext cx="314325" cy="466725"/>
    <xdr:grpSp>
      <xdr:nvGrpSpPr>
        <xdr:cNvPr id="157" name="Node 52: COGS"/>
        <xdr:cNvGrpSpPr/>
      </xdr:nvGrpSpPr>
      <xdr:grpSpPr>
        <a:xfrm>
          <a:off x="6702141" y="3610628"/>
          <a:ext cx="314325" cy="466725"/>
          <a:chOff x="6702141" y="3610628"/>
          <a:chExt cx="314325" cy="466725"/>
        </a:xfrm>
      </xdr:grpSpPr>
      <xdr:sp macro="" textlink="">
        <xdr:nvSpPr>
          <xdr:cNvPr id="158" name="Dot 52: COGS" descr="COGS on P&amp;L is a calculation with 128 formula references."/>
          <xdr:cNvSpPr/>
        </xdr:nvSpPr>
        <xdr:spPr>
          <a:xfrm>
            <a:off x="6702141" y="3610628"/>
            <a:ext cx="314325" cy="314325"/>
          </a:xfrm>
          <a:prstGeom prst="ellipse">
            <a:avLst/>
          </a:prstGeom>
          <a:solidFill>
            <a:srgbClr val="A77BD6"/>
          </a:solidFill>
          <a:ln w="15875">
            <a:solidFill>
              <a:srgbClr val="121211"/>
            </a:solidFill>
          </a:ln>
        </xdr:spPr>
      </xdr:sp>
      <xdr:sp macro="" textlink="">
        <xdr:nvSpPr>
          <xdr:cNvPr id="159" name="Name 52"/>
          <xdr:cNvSpPr txBox="1"/>
        </xdr:nvSpPr>
        <xdr:spPr>
          <a:xfrm>
            <a:off x="6702141" y="3944003"/>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COGS</a:t>
            </a:r>
          </a:p>
        </xdr:txBody>
      </xdr:sp>
    </xdr:grpSp>
    <xdr:clientData/>
  </xdr:oneCellAnchor>
  <xdr:oneCellAnchor>
    <xdr:from>
      <xdr:col>63</xdr:col>
      <xdr:colOff>32915</xdr:colOff>
      <xdr:row>18</xdr:row>
      <xdr:rowOff>45538</xdr:rowOff>
    </xdr:from>
    <xdr:ext cx="314325" cy="466725"/>
    <xdr:grpSp>
      <xdr:nvGrpSpPr>
        <xdr:cNvPr id="160" name="Node 53: D&amp;A (P&amp;L)"/>
        <xdr:cNvGrpSpPr/>
      </xdr:nvGrpSpPr>
      <xdr:grpSpPr>
        <a:xfrm>
          <a:off x="7297315" y="3284038"/>
          <a:ext cx="314325" cy="466725"/>
          <a:chOff x="7297315" y="3284038"/>
          <a:chExt cx="314325" cy="466725"/>
        </a:xfrm>
      </xdr:grpSpPr>
      <xdr:sp macro="" textlink="">
        <xdr:nvSpPr>
          <xdr:cNvPr id="161" name="Dot 53: D&amp;A (P&amp;L)" descr="D&amp;A on P&amp;L is a calculation with 136 formula references."/>
          <xdr:cNvSpPr/>
        </xdr:nvSpPr>
        <xdr:spPr>
          <a:xfrm>
            <a:off x="7297315" y="3284038"/>
            <a:ext cx="314325" cy="314325"/>
          </a:xfrm>
          <a:prstGeom prst="ellipse">
            <a:avLst/>
          </a:prstGeom>
          <a:solidFill>
            <a:srgbClr val="A77BD6"/>
          </a:solidFill>
          <a:ln w="15875">
            <a:solidFill>
              <a:srgbClr val="121211"/>
            </a:solidFill>
          </a:ln>
        </xdr:spPr>
      </xdr:sp>
      <xdr:sp macro="" textlink="">
        <xdr:nvSpPr>
          <xdr:cNvPr id="162" name="Name 53"/>
          <xdr:cNvSpPr txBox="1"/>
        </xdr:nvSpPr>
        <xdr:spPr>
          <a:xfrm>
            <a:off x="7297315" y="3617413"/>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D&amp;A (P&amp;L)</a:t>
            </a:r>
          </a:p>
        </xdr:txBody>
      </xdr:sp>
    </xdr:grpSp>
    <xdr:clientData/>
  </xdr:oneCellAnchor>
  <xdr:oneCellAnchor>
    <xdr:from>
      <xdr:col>50</xdr:col>
      <xdr:colOff>45644</xdr:colOff>
      <xdr:row>12</xdr:row>
      <xdr:rowOff>25214</xdr:rowOff>
    </xdr:from>
    <xdr:ext cx="314325" cy="466725"/>
    <xdr:grpSp>
      <xdr:nvGrpSpPr>
        <xdr:cNvPr id="163" name="Node 54: EBIT"/>
        <xdr:cNvGrpSpPr/>
      </xdr:nvGrpSpPr>
      <xdr:grpSpPr>
        <a:xfrm>
          <a:off x="5163744" y="2120714"/>
          <a:ext cx="314325" cy="466725"/>
          <a:chOff x="5163744" y="2120714"/>
          <a:chExt cx="314325" cy="466725"/>
        </a:xfrm>
      </xdr:grpSpPr>
      <xdr:sp macro="" textlink="">
        <xdr:nvSpPr>
          <xdr:cNvPr id="164" name="Dot 54: EBIT" descr="EBIT on P&amp;L is a calculation with 136 formula references."/>
          <xdr:cNvSpPr/>
        </xdr:nvSpPr>
        <xdr:spPr>
          <a:xfrm>
            <a:off x="5163744" y="2120714"/>
            <a:ext cx="314325" cy="314325"/>
          </a:xfrm>
          <a:prstGeom prst="ellipse">
            <a:avLst/>
          </a:prstGeom>
          <a:solidFill>
            <a:srgbClr val="A77BD6"/>
          </a:solidFill>
          <a:ln w="15875">
            <a:solidFill>
              <a:srgbClr val="121211"/>
            </a:solidFill>
          </a:ln>
        </xdr:spPr>
      </xdr:sp>
      <xdr:sp macro="" textlink="">
        <xdr:nvSpPr>
          <xdr:cNvPr id="165" name="Name 54"/>
          <xdr:cNvSpPr txBox="1"/>
        </xdr:nvSpPr>
        <xdr:spPr>
          <a:xfrm>
            <a:off x="5163744" y="2454089"/>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EBIT</a:t>
            </a:r>
          </a:p>
        </xdr:txBody>
      </xdr:sp>
    </xdr:grpSp>
    <xdr:clientData/>
  </xdr:oneCellAnchor>
  <xdr:oneCellAnchor>
    <xdr:from>
      <xdr:col>57</xdr:col>
      <xdr:colOff>41094</xdr:colOff>
      <xdr:row>13</xdr:row>
      <xdr:rowOff>104759</xdr:rowOff>
    </xdr:from>
    <xdr:ext cx="314325" cy="466725"/>
    <xdr:grpSp>
      <xdr:nvGrpSpPr>
        <xdr:cNvPr id="166" name="Node 55: EBITDA"/>
        <xdr:cNvGrpSpPr/>
      </xdr:nvGrpSpPr>
      <xdr:grpSpPr>
        <a:xfrm>
          <a:off x="6314894" y="2390759"/>
          <a:ext cx="314325" cy="466725"/>
          <a:chOff x="6314894" y="2390759"/>
          <a:chExt cx="314325" cy="466725"/>
        </a:xfrm>
      </xdr:grpSpPr>
      <xdr:sp macro="" textlink="">
        <xdr:nvSpPr>
          <xdr:cNvPr id="167" name="Dot 55: EBITDA" descr="EBITDA on P&amp;L is a calculation with 108 formula references."/>
          <xdr:cNvSpPr/>
        </xdr:nvSpPr>
        <xdr:spPr>
          <a:xfrm>
            <a:off x="6314894" y="2390759"/>
            <a:ext cx="314325" cy="314325"/>
          </a:xfrm>
          <a:prstGeom prst="ellipse">
            <a:avLst/>
          </a:prstGeom>
          <a:solidFill>
            <a:srgbClr val="A77BD6"/>
          </a:solidFill>
          <a:ln w="15875">
            <a:solidFill>
              <a:srgbClr val="121211"/>
            </a:solidFill>
          </a:ln>
        </xdr:spPr>
      </xdr:sp>
      <xdr:sp macro="" textlink="">
        <xdr:nvSpPr>
          <xdr:cNvPr id="168" name="Name 55"/>
          <xdr:cNvSpPr txBox="1"/>
        </xdr:nvSpPr>
        <xdr:spPr>
          <a:xfrm>
            <a:off x="6314894" y="2724134"/>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EBITDA</a:t>
            </a:r>
          </a:p>
        </xdr:txBody>
      </xdr:sp>
    </xdr:grpSp>
    <xdr:clientData/>
  </xdr:oneCellAnchor>
  <xdr:oneCellAnchor>
    <xdr:from>
      <xdr:col>50</xdr:col>
      <xdr:colOff>160090</xdr:colOff>
      <xdr:row>23</xdr:row>
      <xdr:rowOff>172415</xdr:rowOff>
    </xdr:from>
    <xdr:ext cx="314325" cy="466725"/>
    <xdr:grpSp>
      <xdr:nvGrpSpPr>
        <xdr:cNvPr id="169" name="Node 56: G&amp;A (P&amp;L)"/>
        <xdr:cNvGrpSpPr/>
      </xdr:nvGrpSpPr>
      <xdr:grpSpPr>
        <a:xfrm>
          <a:off x="5278190" y="4363415"/>
          <a:ext cx="314325" cy="466725"/>
          <a:chOff x="5278190" y="4363415"/>
          <a:chExt cx="314325" cy="466725"/>
        </a:xfrm>
      </xdr:grpSpPr>
      <xdr:sp macro="" textlink="">
        <xdr:nvSpPr>
          <xdr:cNvPr id="170" name="Dot 56: G&amp;A (P&amp;L)" descr="G&amp;A on P&amp;L is a calculation with 119 formula references; worth a look: AB9 breaks its row's pattern."/>
          <xdr:cNvSpPr/>
        </xdr:nvSpPr>
        <xdr:spPr>
          <a:xfrm>
            <a:off x="5278190" y="4363415"/>
            <a:ext cx="314325" cy="314325"/>
          </a:xfrm>
          <a:prstGeom prst="ellipse">
            <a:avLst/>
          </a:prstGeom>
          <a:solidFill>
            <a:srgbClr val="A77BD6"/>
          </a:solidFill>
          <a:ln w="28575">
            <a:solidFill>
              <a:srgbClr val="E5534B"/>
            </a:solidFill>
          </a:ln>
        </xdr:spPr>
      </xdr:sp>
      <xdr:sp macro="" textlink="">
        <xdr:nvSpPr>
          <xdr:cNvPr id="171" name="Name 56"/>
          <xdr:cNvSpPr txBox="1"/>
        </xdr:nvSpPr>
        <xdr:spPr>
          <a:xfrm>
            <a:off x="5278190" y="4696790"/>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G&amp;A (P&amp;L)</a:t>
            </a:r>
          </a:p>
        </xdr:txBody>
      </xdr:sp>
    </xdr:grpSp>
    <xdr:clientData/>
  </xdr:oneCellAnchor>
  <xdr:oneCellAnchor>
    <xdr:from>
      <xdr:col>53</xdr:col>
      <xdr:colOff>121695</xdr:colOff>
      <xdr:row>11</xdr:row>
      <xdr:rowOff>160526</xdr:rowOff>
    </xdr:from>
    <xdr:ext cx="314325" cy="466725"/>
    <xdr:grpSp>
      <xdr:nvGrpSpPr>
        <xdr:cNvPr id="172" name="Node 57: Gross Profit"/>
        <xdr:cNvGrpSpPr/>
      </xdr:nvGrpSpPr>
      <xdr:grpSpPr>
        <a:xfrm>
          <a:off x="5735095" y="2065526"/>
          <a:ext cx="314325" cy="466725"/>
          <a:chOff x="5735095" y="2065526"/>
          <a:chExt cx="314325" cy="466725"/>
        </a:xfrm>
      </xdr:grpSpPr>
      <xdr:sp macro="" textlink="">
        <xdr:nvSpPr>
          <xdr:cNvPr id="173" name="Dot 57: Gross Profit" descr="Gross Profit on P&amp;L is a calculation with 108 formula references."/>
          <xdr:cNvSpPr/>
        </xdr:nvSpPr>
        <xdr:spPr>
          <a:xfrm>
            <a:off x="5735095" y="2065526"/>
            <a:ext cx="314325" cy="314325"/>
          </a:xfrm>
          <a:prstGeom prst="ellipse">
            <a:avLst/>
          </a:prstGeom>
          <a:solidFill>
            <a:srgbClr val="A77BD6"/>
          </a:solidFill>
          <a:ln w="15875">
            <a:solidFill>
              <a:srgbClr val="121211"/>
            </a:solidFill>
          </a:ln>
        </xdr:spPr>
      </xdr:sp>
      <xdr:sp macro="" textlink="">
        <xdr:nvSpPr>
          <xdr:cNvPr id="174" name="Name 57"/>
          <xdr:cNvSpPr txBox="1"/>
        </xdr:nvSpPr>
        <xdr:spPr>
          <a:xfrm>
            <a:off x="5735095" y="2398901"/>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Gross Profit</a:t>
            </a:r>
          </a:p>
        </xdr:txBody>
      </xdr:sp>
    </xdr:grpSp>
    <xdr:clientData/>
  </xdr:oneCellAnchor>
  <xdr:oneCellAnchor>
    <xdr:from>
      <xdr:col>62</xdr:col>
      <xdr:colOff>98836</xdr:colOff>
      <xdr:row>15</xdr:row>
      <xdr:rowOff>62408</xdr:rowOff>
    </xdr:from>
    <xdr:ext cx="314325" cy="466725"/>
    <xdr:grpSp>
      <xdr:nvGrpSpPr>
        <xdr:cNvPr id="175" name="Node 58: Net Income (P&amp;L)"/>
        <xdr:cNvGrpSpPr/>
      </xdr:nvGrpSpPr>
      <xdr:grpSpPr>
        <a:xfrm>
          <a:off x="7198136" y="2729408"/>
          <a:ext cx="314325" cy="466725"/>
          <a:chOff x="7198136" y="2729408"/>
          <a:chExt cx="314325" cy="466725"/>
        </a:xfrm>
      </xdr:grpSpPr>
      <xdr:sp macro="" textlink="">
        <xdr:nvSpPr>
          <xdr:cNvPr id="176" name="Dot 58: Net Income (P&amp;L)" descr="Net Income on P&amp;L is a calculation with 144 formula references."/>
          <xdr:cNvSpPr/>
        </xdr:nvSpPr>
        <xdr:spPr>
          <a:xfrm>
            <a:off x="7198136" y="2729408"/>
            <a:ext cx="314325" cy="314325"/>
          </a:xfrm>
          <a:prstGeom prst="ellipse">
            <a:avLst/>
          </a:prstGeom>
          <a:solidFill>
            <a:srgbClr val="A77BD6"/>
          </a:solidFill>
          <a:ln w="15875">
            <a:solidFill>
              <a:srgbClr val="121211"/>
            </a:solidFill>
          </a:ln>
        </xdr:spPr>
      </xdr:sp>
      <xdr:sp macro="" textlink="">
        <xdr:nvSpPr>
          <xdr:cNvPr id="177" name="Name 58"/>
          <xdr:cNvSpPr txBox="1"/>
        </xdr:nvSpPr>
        <xdr:spPr>
          <a:xfrm>
            <a:off x="7198136" y="3062783"/>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Net Income (P&amp;L)</a:t>
            </a:r>
          </a:p>
        </xdr:txBody>
      </xdr:sp>
    </xdr:grpSp>
    <xdr:clientData/>
  </xdr:oneCellAnchor>
  <xdr:oneCellAnchor>
    <xdr:from>
      <xdr:col>47</xdr:col>
      <xdr:colOff>126723</xdr:colOff>
      <xdr:row>18</xdr:row>
      <xdr:rowOff>108090</xdr:rowOff>
    </xdr:from>
    <xdr:ext cx="276225" cy="428625"/>
    <xdr:grpSp>
      <xdr:nvGrpSpPr>
        <xdr:cNvPr id="178" name="Node 59: R&amp;D"/>
        <xdr:cNvGrpSpPr/>
      </xdr:nvGrpSpPr>
      <xdr:grpSpPr>
        <a:xfrm>
          <a:off x="4749523" y="3346590"/>
          <a:ext cx="276225" cy="428625"/>
          <a:chOff x="4749523" y="3346590"/>
          <a:chExt cx="276225" cy="428625"/>
        </a:xfrm>
      </xdr:grpSpPr>
      <xdr:sp macro="" textlink="">
        <xdr:nvSpPr>
          <xdr:cNvPr id="179" name="Dot 59: R&amp;D" descr="R&amp;D on P&amp;L is a calculation with 56 formula references."/>
          <xdr:cNvSpPr/>
        </xdr:nvSpPr>
        <xdr:spPr>
          <a:xfrm>
            <a:off x="4749523" y="3346590"/>
            <a:ext cx="276225" cy="276225"/>
          </a:xfrm>
          <a:prstGeom prst="ellipse">
            <a:avLst/>
          </a:prstGeom>
          <a:solidFill>
            <a:srgbClr val="A77BD6"/>
          </a:solidFill>
          <a:ln w="15875">
            <a:solidFill>
              <a:srgbClr val="121211"/>
            </a:solidFill>
          </a:ln>
        </xdr:spPr>
      </xdr:sp>
      <xdr:sp macro="" textlink="">
        <xdr:nvSpPr>
          <xdr:cNvPr id="180" name="Name 59"/>
          <xdr:cNvSpPr txBox="1"/>
        </xdr:nvSpPr>
        <xdr:spPr>
          <a:xfrm>
            <a:off x="4749523" y="3641865"/>
            <a:ext cx="2762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R&amp;D</a:t>
            </a:r>
          </a:p>
        </xdr:txBody>
      </xdr:sp>
    </xdr:grpSp>
    <xdr:clientData/>
  </xdr:oneCellAnchor>
  <xdr:oneCellAnchor>
    <xdr:from>
      <xdr:col>61</xdr:col>
      <xdr:colOff>20390</xdr:colOff>
      <xdr:row>11</xdr:row>
      <xdr:rowOff>149971</xdr:rowOff>
    </xdr:from>
    <xdr:ext cx="314325" cy="466725"/>
    <xdr:grpSp>
      <xdr:nvGrpSpPr>
        <xdr:cNvPr id="181" name="Node 60: Revenue (P&amp;L)"/>
        <xdr:cNvGrpSpPr/>
      </xdr:nvGrpSpPr>
      <xdr:grpSpPr>
        <a:xfrm>
          <a:off x="6954590" y="2054971"/>
          <a:ext cx="314325" cy="466725"/>
          <a:chOff x="6954590" y="2054971"/>
          <a:chExt cx="314325" cy="466725"/>
        </a:xfrm>
      </xdr:grpSpPr>
      <xdr:sp macro="" textlink="">
        <xdr:nvSpPr>
          <xdr:cNvPr id="182" name="Dot 60: Revenue (P&amp;L)" descr="Revenue on P&amp;L is a calculation with 128 formula references; worth a look: N4 breaks its row's pattern; N4 has a typed number."/>
          <xdr:cNvSpPr/>
        </xdr:nvSpPr>
        <xdr:spPr>
          <a:xfrm>
            <a:off x="6954590" y="2054971"/>
            <a:ext cx="314325" cy="314325"/>
          </a:xfrm>
          <a:prstGeom prst="ellipse">
            <a:avLst/>
          </a:prstGeom>
          <a:solidFill>
            <a:srgbClr val="A77BD6"/>
          </a:solidFill>
          <a:ln w="28575">
            <a:solidFill>
              <a:srgbClr val="E5534B"/>
            </a:solidFill>
          </a:ln>
        </xdr:spPr>
      </xdr:sp>
      <xdr:sp macro="" textlink="">
        <xdr:nvSpPr>
          <xdr:cNvPr id="183" name="Name 60"/>
          <xdr:cNvSpPr txBox="1"/>
        </xdr:nvSpPr>
        <xdr:spPr>
          <a:xfrm>
            <a:off x="6954590" y="2388346"/>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Revenue (P&amp;L)</a:t>
            </a:r>
          </a:p>
        </xdr:txBody>
      </xdr:sp>
    </xdr:grpSp>
    <xdr:clientData/>
  </xdr:oneCellAnchor>
  <xdr:oneCellAnchor>
    <xdr:from>
      <xdr:col>46</xdr:col>
      <xdr:colOff>32118</xdr:colOff>
      <xdr:row>23</xdr:row>
      <xdr:rowOff>108261</xdr:rowOff>
    </xdr:from>
    <xdr:ext cx="314325" cy="466725"/>
    <xdr:grpSp>
      <xdr:nvGrpSpPr>
        <xdr:cNvPr id="184" name="Node 61: Sales &amp; Marketing"/>
        <xdr:cNvGrpSpPr/>
      </xdr:nvGrpSpPr>
      <xdr:grpSpPr>
        <a:xfrm>
          <a:off x="4489818" y="4299261"/>
          <a:ext cx="314325" cy="466725"/>
          <a:chOff x="4489818" y="4299261"/>
          <a:chExt cx="314325" cy="466725"/>
        </a:xfrm>
      </xdr:grpSpPr>
      <xdr:sp macro="" textlink="">
        <xdr:nvSpPr>
          <xdr:cNvPr id="185" name="Dot 61: Sales &amp; Marketing" descr="Sales &amp; Marketing on P&amp;L is a calculation with 148 formula references."/>
          <xdr:cNvSpPr/>
        </xdr:nvSpPr>
        <xdr:spPr>
          <a:xfrm>
            <a:off x="4489818" y="4299261"/>
            <a:ext cx="314325" cy="314325"/>
          </a:xfrm>
          <a:prstGeom prst="ellipse">
            <a:avLst/>
          </a:prstGeom>
          <a:solidFill>
            <a:srgbClr val="A77BD6"/>
          </a:solidFill>
          <a:ln w="15875">
            <a:solidFill>
              <a:srgbClr val="121211"/>
            </a:solidFill>
          </a:ln>
        </xdr:spPr>
      </xdr:sp>
      <xdr:sp macro="" textlink="">
        <xdr:nvSpPr>
          <xdr:cNvPr id="186" name="Name 61"/>
          <xdr:cNvSpPr txBox="1"/>
        </xdr:nvSpPr>
        <xdr:spPr>
          <a:xfrm>
            <a:off x="4489818" y="4632636"/>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Sales &amp; Marketing</a:t>
            </a:r>
          </a:p>
        </xdr:txBody>
      </xdr:sp>
    </xdr:grpSp>
    <xdr:clientData/>
  </xdr:oneCellAnchor>
  <xdr:oneCellAnchor>
    <xdr:from>
      <xdr:col>50</xdr:col>
      <xdr:colOff>92621</xdr:colOff>
      <xdr:row>15</xdr:row>
      <xdr:rowOff>123509</xdr:rowOff>
    </xdr:from>
    <xdr:ext cx="314325" cy="466725"/>
    <xdr:grpSp>
      <xdr:nvGrpSpPr>
        <xdr:cNvPr id="187" name="Node 62: Taxes"/>
        <xdr:cNvGrpSpPr/>
      </xdr:nvGrpSpPr>
      <xdr:grpSpPr>
        <a:xfrm>
          <a:off x="5210721" y="2790509"/>
          <a:ext cx="314325" cy="466725"/>
          <a:chOff x="5210721" y="2790509"/>
          <a:chExt cx="314325" cy="466725"/>
        </a:xfrm>
      </xdr:grpSpPr>
      <xdr:sp macro="" textlink="">
        <xdr:nvSpPr>
          <xdr:cNvPr id="188" name="Dot 62: Taxes" descr="Taxes on P&amp;L is a calculation with 92 formula references."/>
          <xdr:cNvSpPr/>
        </xdr:nvSpPr>
        <xdr:spPr>
          <a:xfrm>
            <a:off x="5210721" y="2790509"/>
            <a:ext cx="314325" cy="314325"/>
          </a:xfrm>
          <a:prstGeom prst="ellipse">
            <a:avLst/>
          </a:prstGeom>
          <a:solidFill>
            <a:srgbClr val="A77BD6"/>
          </a:solidFill>
          <a:ln w="15875">
            <a:solidFill>
              <a:srgbClr val="121211"/>
            </a:solidFill>
          </a:ln>
        </xdr:spPr>
      </xdr:sp>
      <xdr:sp macro="" textlink="">
        <xdr:nvSpPr>
          <xdr:cNvPr id="189" name="Name 62"/>
          <xdr:cNvSpPr txBox="1"/>
        </xdr:nvSpPr>
        <xdr:spPr>
          <a:xfrm>
            <a:off x="5210721" y="3123884"/>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Taxes</a:t>
            </a:r>
          </a:p>
        </xdr:txBody>
      </xdr:sp>
    </xdr:grpSp>
    <xdr:clientData/>
  </xdr:oneCellAnchor>
  <xdr:oneCellAnchor>
    <xdr:from>
      <xdr:col>55</xdr:col>
      <xdr:colOff>115841</xdr:colOff>
      <xdr:row>20</xdr:row>
      <xdr:rowOff>68774</xdr:rowOff>
    </xdr:from>
    <xdr:ext cx="314325" cy="466725"/>
    <xdr:grpSp>
      <xdr:nvGrpSpPr>
        <xdr:cNvPr id="190" name="Node 63: Total OpEx"/>
        <xdr:cNvGrpSpPr/>
      </xdr:nvGrpSpPr>
      <xdr:grpSpPr>
        <a:xfrm>
          <a:off x="6059441" y="3688274"/>
          <a:ext cx="314325" cy="466725"/>
          <a:chOff x="6059441" y="3688274"/>
          <a:chExt cx="314325" cy="466725"/>
        </a:xfrm>
      </xdr:grpSpPr>
      <xdr:sp macro="" textlink="">
        <xdr:nvSpPr>
          <xdr:cNvPr id="191" name="Dot 63: Total OpEx" descr="Total OpEx on P&amp;L is a calculation with 144 formula references."/>
          <xdr:cNvSpPr/>
        </xdr:nvSpPr>
        <xdr:spPr>
          <a:xfrm>
            <a:off x="6059441" y="3688274"/>
            <a:ext cx="314325" cy="314325"/>
          </a:xfrm>
          <a:prstGeom prst="ellipse">
            <a:avLst/>
          </a:prstGeom>
          <a:solidFill>
            <a:srgbClr val="A77BD6"/>
          </a:solidFill>
          <a:ln w="15875">
            <a:solidFill>
              <a:srgbClr val="121211"/>
            </a:solidFill>
          </a:ln>
        </xdr:spPr>
      </xdr:sp>
      <xdr:sp macro="" textlink="">
        <xdr:nvSpPr>
          <xdr:cNvPr id="192" name="Name 63"/>
          <xdr:cNvSpPr txBox="1"/>
        </xdr:nvSpPr>
        <xdr:spPr>
          <a:xfrm>
            <a:off x="6059441" y="4021649"/>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Total OpEx</a:t>
            </a:r>
          </a:p>
        </xdr:txBody>
      </xdr:sp>
    </xdr:grpSp>
    <xdr:clientData/>
  </xdr:oneCellAnchor>
  <xdr:oneCellAnchor>
    <xdr:from>
      <xdr:col>31</xdr:col>
      <xdr:colOff>122470</xdr:colOff>
      <xdr:row>20</xdr:row>
      <xdr:rowOff>138817</xdr:rowOff>
    </xdr:from>
    <xdr:ext cx="314325" cy="466725"/>
    <xdr:grpSp>
      <xdr:nvGrpSpPr>
        <xdr:cNvPr id="193" name="Node 64: Beginning MRR"/>
        <xdr:cNvGrpSpPr/>
      </xdr:nvGrpSpPr>
      <xdr:grpSpPr>
        <a:xfrm>
          <a:off x="2103670" y="3758317"/>
          <a:ext cx="314325" cy="466725"/>
          <a:chOff x="2103670" y="3758317"/>
          <a:chExt cx="314325" cy="466725"/>
        </a:xfrm>
      </xdr:grpSpPr>
      <xdr:sp macro="" textlink="">
        <xdr:nvSpPr>
          <xdr:cNvPr id="194" name="Dot 64: Beginning MRR" descr="Beginning MRR on Revenue is a calculation with 120 formula references."/>
          <xdr:cNvSpPr/>
        </xdr:nvSpPr>
        <xdr:spPr>
          <a:xfrm>
            <a:off x="2103670" y="3758317"/>
            <a:ext cx="314325" cy="314325"/>
          </a:xfrm>
          <a:prstGeom prst="ellipse">
            <a:avLst/>
          </a:prstGeom>
          <a:solidFill>
            <a:srgbClr val="D96C5F"/>
          </a:solidFill>
          <a:ln w="15875">
            <a:solidFill>
              <a:srgbClr val="121211"/>
            </a:solidFill>
          </a:ln>
        </xdr:spPr>
      </xdr:sp>
      <xdr:sp macro="" textlink="">
        <xdr:nvSpPr>
          <xdr:cNvPr id="195" name="Name 64"/>
          <xdr:cNvSpPr txBox="1"/>
        </xdr:nvSpPr>
        <xdr:spPr>
          <a:xfrm>
            <a:off x="2103670" y="4091692"/>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Beginning MRR</a:t>
            </a:r>
          </a:p>
        </xdr:txBody>
      </xdr:sp>
    </xdr:grpSp>
    <xdr:clientData/>
  </xdr:oneCellAnchor>
  <xdr:oneCellAnchor>
    <xdr:from>
      <xdr:col>37</xdr:col>
      <xdr:colOff>9010</xdr:colOff>
      <xdr:row>20</xdr:row>
      <xdr:rowOff>165820</xdr:rowOff>
    </xdr:from>
    <xdr:ext cx="314325" cy="466725"/>
    <xdr:grpSp>
      <xdr:nvGrpSpPr>
        <xdr:cNvPr id="196" name="Node 65: Churned MRR"/>
        <xdr:cNvGrpSpPr/>
      </xdr:nvGrpSpPr>
      <xdr:grpSpPr>
        <a:xfrm>
          <a:off x="2980810" y="3785320"/>
          <a:ext cx="314325" cy="466725"/>
          <a:chOff x="2980810" y="3785320"/>
          <a:chExt cx="314325" cy="466725"/>
        </a:xfrm>
      </xdr:grpSpPr>
      <xdr:sp macro="" textlink="">
        <xdr:nvSpPr>
          <xdr:cNvPr id="197" name="Dot 65: Churned MRR" descr="Churned MRR on Revenue is a calculation with 92 formula references."/>
          <xdr:cNvSpPr/>
        </xdr:nvSpPr>
        <xdr:spPr>
          <a:xfrm>
            <a:off x="2980810" y="3785320"/>
            <a:ext cx="314325" cy="314325"/>
          </a:xfrm>
          <a:prstGeom prst="ellipse">
            <a:avLst/>
          </a:prstGeom>
          <a:solidFill>
            <a:srgbClr val="D96C5F"/>
          </a:solidFill>
          <a:ln w="15875">
            <a:solidFill>
              <a:srgbClr val="121211"/>
            </a:solidFill>
          </a:ln>
        </xdr:spPr>
      </xdr:sp>
      <xdr:sp macro="" textlink="">
        <xdr:nvSpPr>
          <xdr:cNvPr id="198" name="Name 65"/>
          <xdr:cNvSpPr txBox="1"/>
        </xdr:nvSpPr>
        <xdr:spPr>
          <a:xfrm>
            <a:off x="2980810" y="4118695"/>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Churned MRR</a:t>
            </a:r>
          </a:p>
        </xdr:txBody>
      </xdr:sp>
    </xdr:grpSp>
    <xdr:clientData/>
  </xdr:oneCellAnchor>
  <xdr:oneCellAnchor>
    <xdr:from>
      <xdr:col>40</xdr:col>
      <xdr:colOff>19424</xdr:colOff>
      <xdr:row>17</xdr:row>
      <xdr:rowOff>175345</xdr:rowOff>
    </xdr:from>
    <xdr:ext cx="314325" cy="466725"/>
    <xdr:grpSp>
      <xdr:nvGrpSpPr>
        <xdr:cNvPr id="199" name="Node 66: Ending MRR"/>
        <xdr:cNvGrpSpPr/>
      </xdr:nvGrpSpPr>
      <xdr:grpSpPr>
        <a:xfrm>
          <a:off x="3486524" y="3223345"/>
          <a:ext cx="314325" cy="466725"/>
          <a:chOff x="3486524" y="3223345"/>
          <a:chExt cx="314325" cy="466725"/>
        </a:xfrm>
      </xdr:grpSpPr>
      <xdr:sp macro="" textlink="">
        <xdr:nvSpPr>
          <xdr:cNvPr id="200" name="Dot 66: Ending MRR" descr="Ending MRR on Revenue is a calculation with 164 formula references."/>
          <xdr:cNvSpPr/>
        </xdr:nvSpPr>
        <xdr:spPr>
          <a:xfrm>
            <a:off x="3486524" y="3223345"/>
            <a:ext cx="314325" cy="314325"/>
          </a:xfrm>
          <a:prstGeom prst="ellipse">
            <a:avLst/>
          </a:prstGeom>
          <a:solidFill>
            <a:srgbClr val="D96C5F"/>
          </a:solidFill>
          <a:ln w="15875">
            <a:solidFill>
              <a:srgbClr val="121211"/>
            </a:solidFill>
          </a:ln>
        </xdr:spPr>
      </xdr:sp>
      <xdr:sp macro="" textlink="">
        <xdr:nvSpPr>
          <xdr:cNvPr id="201" name="Name 66"/>
          <xdr:cNvSpPr txBox="1"/>
        </xdr:nvSpPr>
        <xdr:spPr>
          <a:xfrm>
            <a:off x="3486524" y="3556720"/>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Ending MRR</a:t>
            </a:r>
          </a:p>
        </xdr:txBody>
      </xdr:sp>
    </xdr:grpSp>
    <xdr:clientData/>
  </xdr:oneCellAnchor>
  <xdr:oneCellAnchor>
    <xdr:from>
      <xdr:col>36</xdr:col>
      <xdr:colOff>58443</xdr:colOff>
      <xdr:row>32</xdr:row>
      <xdr:rowOff>56189</xdr:rowOff>
    </xdr:from>
    <xdr:ext cx="314325" cy="466725"/>
    <xdr:grpSp>
      <xdr:nvGrpSpPr>
        <xdr:cNvPr id="202" name="Node 67: New MRR"/>
        <xdr:cNvGrpSpPr/>
      </xdr:nvGrpSpPr>
      <xdr:grpSpPr>
        <a:xfrm>
          <a:off x="2865143" y="5961689"/>
          <a:ext cx="314325" cy="466725"/>
          <a:chOff x="2865143" y="5961689"/>
          <a:chExt cx="314325" cy="466725"/>
        </a:xfrm>
      </xdr:grpSpPr>
      <xdr:sp macro="" textlink="">
        <xdr:nvSpPr>
          <xdr:cNvPr id="203" name="Dot 67: New MRR" descr="New MRR on Revenue is a calculation with 120 formula references; worth a look: X5 breaks its row's pattern."/>
          <xdr:cNvSpPr/>
        </xdr:nvSpPr>
        <xdr:spPr>
          <a:xfrm>
            <a:off x="2865143" y="5961689"/>
            <a:ext cx="314325" cy="314325"/>
          </a:xfrm>
          <a:prstGeom prst="ellipse">
            <a:avLst/>
          </a:prstGeom>
          <a:solidFill>
            <a:srgbClr val="D96C5F"/>
          </a:solidFill>
          <a:ln w="28575">
            <a:solidFill>
              <a:srgbClr val="E5534B"/>
            </a:solidFill>
          </a:ln>
        </xdr:spPr>
      </xdr:sp>
      <xdr:sp macro="" textlink="">
        <xdr:nvSpPr>
          <xdr:cNvPr id="204" name="Name 67"/>
          <xdr:cNvSpPr txBox="1"/>
        </xdr:nvSpPr>
        <xdr:spPr>
          <a:xfrm>
            <a:off x="2865143" y="6295064"/>
            <a:ext cx="314325"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New MRR</a:t>
            </a:r>
          </a:p>
        </xdr:txBody>
      </xdr:sp>
    </xdr:grpSp>
    <xdr:clientData/>
  </xdr:oneCellAnchor>
  <xdr:oneCellAnchor>
    <xdr:from>
      <xdr:col>40</xdr:col>
      <xdr:colOff>22344</xdr:colOff>
      <xdr:row>31</xdr:row>
      <xdr:rowOff>182314</xdr:rowOff>
    </xdr:from>
    <xdr:ext cx="304800" cy="457200"/>
    <xdr:grpSp>
      <xdr:nvGrpSpPr>
        <xdr:cNvPr id="205" name="Node 68: New customers"/>
        <xdr:cNvGrpSpPr/>
      </xdr:nvGrpSpPr>
      <xdr:grpSpPr>
        <a:xfrm>
          <a:off x="3489444" y="5897314"/>
          <a:ext cx="304800" cy="457200"/>
          <a:chOff x="3489444" y="5897314"/>
          <a:chExt cx="304800" cy="457200"/>
        </a:xfrm>
      </xdr:grpSpPr>
      <xdr:sp macro="" textlink="">
        <xdr:nvSpPr>
          <xdr:cNvPr id="206" name="Dot 68: New customers" descr="New customers on Revenue is a calculation with 84 formula references."/>
          <xdr:cNvSpPr/>
        </xdr:nvSpPr>
        <xdr:spPr>
          <a:xfrm>
            <a:off x="3489444" y="5897314"/>
            <a:ext cx="304800" cy="304800"/>
          </a:xfrm>
          <a:prstGeom prst="ellipse">
            <a:avLst/>
          </a:prstGeom>
          <a:solidFill>
            <a:srgbClr val="D96C5F"/>
          </a:solidFill>
          <a:ln w="15875">
            <a:solidFill>
              <a:srgbClr val="121211"/>
            </a:solidFill>
          </a:ln>
        </xdr:spPr>
      </xdr:sp>
      <xdr:sp macro="" textlink="">
        <xdr:nvSpPr>
          <xdr:cNvPr id="207" name="Name 68"/>
          <xdr:cNvSpPr txBox="1"/>
        </xdr:nvSpPr>
        <xdr:spPr>
          <a:xfrm>
            <a:off x="3489444" y="6221164"/>
            <a:ext cx="304800" cy="133350"/>
          </a:xfrm>
          <a:prstGeom prst="rect">
            <a:avLst/>
          </a:prstGeom>
          <a:noFill/>
          <a:ln>
            <a:noFill/>
          </a:ln>
        </xdr:spPr>
        <xdr:txBody>
          <a:bodyPr wrap="none" lIns="0" tIns="0" rIns="0" bIns="0" anchor="t" rtlCol="0" vertOverflow="overflow" horzOverflow="overflow">
            <a:noAutofit/>
          </a:bodyPr>
          <a:lstStyle/>
          <a:p>
            <a:pPr algn="ctr"/>
            <a:r>
              <a:rPr lang="en-US" sz="850" dirty="0">
                <a:solidFill>
                  <a:srgbClr val="E6E4DE"/>
                </a:solidFill>
                <a:effectLst>
                  <a:glow rad="38100">
                    <a:srgbClr val="121211">
                      <a:alpha val="85000"/>
                    </a:srgbClr>
                  </a:glow>
                </a:effectLst>
                <a:latin typeface="Calibri"/>
                <a:cs typeface="Calibri"/>
              </a:rPr>
              <a:t>New customers</a:t>
            </a:r>
          </a:p>
        </xdr:txBody>
      </xdr:sp>
    </xdr:grpSp>
    <xdr:clientData/>
  </xdr:oneCellAnchor>
  <xdr:oneCellAnchor>
    <xdr:from>
      <xdr:col>45</xdr:col>
      <xdr:colOff>104080</xdr:colOff>
      <xdr:row>44</xdr:row>
      <xdr:rowOff>123825</xdr:rowOff>
    </xdr:from>
    <xdr:ext cx="2495550" cy="485775"/>
    <xdr:sp macro="" textlink="">
      <xdr:nvSpPr>
        <xdr:cNvPr id="208" name="Note 1: Inputs: Monthly churn (Inputs!B5) =..." descr="These inputs drive the model, right as read, per the owner: Monthly churn (Inputs!B5) = 0.015 (&quot;share of beginning MRR lost each month&quot;); ARPA per month (Inputs!B6) = 650 (&quot;USD per customer&quot;); CAC per new customer (Inputs!B7) = 5,200 (&quot;USD&quot;); COGS % of revenue (Inputs!B8) = 0.22, in COGS; Fixed..."/>
        <xdr:cNvSpPr/>
      </xdr:nvSpPr>
      <xdr:spPr>
        <a:xfrm>
          <a:off x="4396680" y="8315325"/>
          <a:ext cx="2495550"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Inputs: Monthly churn (Inputs!B5) = 0.015 ("share of</a:t>
          </a:r>
        </a:p>
        <a:p>
          <a:pPr algn="l"/>
          <a:r>
            <a:rPr lang="en-US" sz="800" dirty="0">
              <a:solidFill>
                <a:srgbClr val="FFFFFF"/>
              </a:solidFill>
              <a:latin typeface="Calibri"/>
              <a:cs typeface="Calibri"/>
            </a:rPr>
            <a:t>beginning MRR lost each month"); ARPA per month</a:t>
          </a:r>
        </a:p>
        <a:p>
          <a:pPr algn="l"/>
          <a:r>
            <a:rPr lang="en-US" sz="800" dirty="0">
              <a:solidFill>
                <a:srgbClr val="FFFFFF"/>
              </a:solidFill>
              <a:latin typeface="Calibri"/>
              <a:cs typeface="Calibri"/>
            </a:rPr>
            <a:t>(Inputs!B6) = 650 ("USD per customer"); CAC per...</a:t>
          </a:r>
        </a:p>
      </xdr:txBody>
    </xdr:sp>
    <xdr:clientData/>
  </xdr:oneCellAnchor>
  <xdr:oneCellAnchor>
    <xdr:from>
      <xdr:col>55</xdr:col>
      <xdr:colOff>10013</xdr:colOff>
      <xdr:row>9</xdr:row>
      <xdr:rowOff>83296</xdr:rowOff>
    </xdr:from>
    <xdr:ext cx="2316280" cy="361950"/>
    <xdr:sp macro="" textlink="">
      <xdr:nvSpPr>
        <xdr:cNvPr id="209" name="Note 2: Typed factor: not approved; the owner..." descr="The typed 1.07 in Revenue, Jan 2027 (P&amp;L!N4), which raises it by 7%, adding 17,967.94, is a test to take out, per the owner: not approved; the owner wrote: &quot;Priya's test of a 7% price increase, never approved. It should come out.&quot;"/>
        <xdr:cNvSpPr/>
      </xdr:nvSpPr>
      <xdr:spPr>
        <a:xfrm>
          <a:off x="5953613" y="1607296"/>
          <a:ext cx="2316280" cy="361950"/>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Typed factor: Priya's test of a 7% price increase,</a:t>
          </a:r>
        </a:p>
        <a:p>
          <a:pPr algn="l"/>
          <a:r>
            <a:rPr lang="en-US" sz="800" dirty="0">
              <a:solidFill>
                <a:srgbClr val="FFFFFF"/>
              </a:solidFill>
              <a:latin typeface="Calibri"/>
              <a:cs typeface="Calibri"/>
            </a:rPr>
            <a:t>never approved. It should come out.</a:t>
          </a:r>
        </a:p>
      </xdr:txBody>
    </xdr:sp>
    <xdr:clientData/>
  </xdr:oneCellAnchor>
  <xdr:oneCellAnchor>
    <xdr:from>
      <xdr:col>27</xdr:col>
      <xdr:colOff>49773</xdr:colOff>
      <xdr:row>35</xdr:row>
      <xdr:rowOff>26572</xdr:rowOff>
    </xdr:from>
    <xdr:ext cx="2407815" cy="361950"/>
    <xdr:sp macro="" textlink="">
      <xdr:nvSpPr>
        <xdr:cNvPr id="210" name="Note 3: Unused input: the typed actual in..." descr="Starting MRR (Inputs!B3), an input no formula uses, is left over from an earlier version, per the owner: the typed actual in Beginning MRR, Jan 2026 (Revenue!B4) is the source."/>
        <xdr:cNvSpPr/>
      </xdr:nvSpPr>
      <xdr:spPr>
        <a:xfrm>
          <a:off x="1370573" y="6503572"/>
          <a:ext cx="2407815" cy="361950"/>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Unused input: the typed actual in Beginning MRR,</a:t>
          </a:r>
        </a:p>
        <a:p>
          <a:pPr algn="l"/>
          <a:r>
            <a:rPr lang="en-US" sz="800" dirty="0">
              <a:solidFill>
                <a:srgbClr val="FFFFFF"/>
              </a:solidFill>
              <a:latin typeface="Calibri"/>
              <a:cs typeface="Calibri"/>
            </a:rPr>
            <a:t>Jan 2026 (Revenue!B4) is the source</a:t>
          </a:r>
        </a:p>
      </xdr:txBody>
    </xdr:sp>
    <xdr:clientData/>
  </xdr:oneCellAnchor>
  <xdr:oneCellAnchor>
    <xdr:from>
      <xdr:col>20</xdr:col>
      <xdr:colOff>120650</xdr:colOff>
      <xdr:row>29</xdr:row>
      <xdr:rowOff>94289</xdr:rowOff>
    </xdr:from>
    <xdr:ext cx="2495550" cy="485775"/>
    <xdr:sp macro="" textlink="">
      <xdr:nvSpPr>
        <xdr:cNvPr id="211" name="Note 4: Asked &quot;These formulas don't match the..." descr="Asked &quot;These formulas don't match the rest of their row: New MRR, Nov 2027 (Revenue!X5) uses Monthly churn (Inputs!B5) where the row uses Growth (Inputs!B4); G&amp;A, Mar 2028 (P&amp;L!AB9) drops + Fixed G&amp;A per month (Inputs!B9); Accounts Receivable, Jul 2028 (Balance Sheet!AF5) reads prior Revenue on..."/>
        <xdr:cNvSpPr/>
      </xdr:nvSpPr>
      <xdr:spPr>
        <a:xfrm>
          <a:off x="285750" y="5428289"/>
          <a:ext cx="2495550"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Asked "These formulas don't match the rest of their</a:t>
          </a:r>
        </a:p>
        <a:p>
          <a:pPr algn="l"/>
          <a:r>
            <a:rPr lang="en-US" sz="800" dirty="0">
              <a:solidFill>
                <a:srgbClr val="FFFFFF"/>
              </a:solidFill>
              <a:latin typeface="Calibri"/>
              <a:cs typeface="Calibri"/>
            </a:rPr>
            <a:t>row: New MRR, Nov 2027 (Revenue!X5) uses</a:t>
          </a:r>
        </a:p>
        <a:p>
          <a:pPr algn="l"/>
          <a:r>
            <a:rPr lang="en-US" sz="800" dirty="0">
              <a:solidFill>
                <a:srgbClr val="FFFFFF"/>
              </a:solidFill>
              <a:latin typeface="Calibri"/>
              <a:cs typeface="Calibri"/>
            </a:rPr>
            <a:t>Monthly churn (Inputs!B5) where the row uses...</a:t>
          </a:r>
        </a:p>
      </xdr:txBody>
    </xdr:sp>
    <xdr:clientData/>
  </xdr:oneCellAnchor>
  <xdr:oneCellAnchor>
    <xdr:from>
      <xdr:col>28</xdr:col>
      <xdr:colOff>54848</xdr:colOff>
      <xdr:row>26</xdr:row>
      <xdr:rowOff>78243</xdr:rowOff>
    </xdr:from>
    <xdr:ext cx="2427057" cy="361950"/>
    <xdr:sp macro="" textlink="">
      <xdr:nvSpPr>
        <xdr:cNvPr id="212" name="Note 5: The Engineering, Sales and G&amp;A rows on..." descr="The Engineering, Sales and G&amp;A rows on Inputs, typed in 36 periods (Jan 2026 to Dec 2028), are an approved plan, per the owner. Each row is multiplied by an input: Sales (Inputs!B26) = 10,000 (&quot;loaded cost per head per month&quot;); Engineering (Inputs!B25) = 13,750 (&quot;loaded cost per head per month&quot;)..."/>
        <xdr:cNvSpPr/>
      </xdr:nvSpPr>
      <xdr:spPr>
        <a:xfrm>
          <a:off x="1540748" y="4840743"/>
          <a:ext cx="2427057" cy="361950"/>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The headcount plan was approved by the board in</a:t>
          </a:r>
        </a:p>
        <a:p>
          <a:pPr algn="l"/>
          <a:r>
            <a:rPr lang="en-US" sz="800" dirty="0">
              <a:solidFill>
                <a:srgbClr val="FFFFFF"/>
              </a:solidFill>
              <a:latin typeface="Calibri"/>
              <a:cs typeface="Calibri"/>
            </a:rPr>
            <a:t>July 2026.</a:t>
          </a:r>
        </a:p>
      </xdr:txBody>
    </xdr:sp>
    <xdr:clientData/>
  </xdr:oneCellAnchor>
  <xdr:oneCellAnchor>
    <xdr:from>
      <xdr:col>54</xdr:col>
      <xdr:colOff>142445</xdr:colOff>
      <xdr:row>6</xdr:row>
      <xdr:rowOff>102346</xdr:rowOff>
    </xdr:from>
    <xdr:ext cx="2381616" cy="485775"/>
    <xdr:sp macro="" textlink="">
      <xdr:nvSpPr>
        <xdr:cNvPr id="213" name="Note 6: Asked &quot;Revenue on P&amp;L is typed in 8..." descr="Asked &quot;Revenue on P&amp;L is typed in 8 periods (Jan 2026 to Aug 2026) and links to Ending MRR on Revenue after that, where P&amp;L switches from typed numbers to formulas; the typed periods come to 1,668,035.00, 10,179.00 above Ending MRR in the same periods, 0.6%, and 8 of the 8 differ. What is the..."/>
        <xdr:cNvSpPr/>
      </xdr:nvSpPr>
      <xdr:spPr>
        <a:xfrm>
          <a:off x="5920945" y="1054846"/>
          <a:ext cx="2381616"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Asked "Revenue on P&amp;L is typed in 8 periods (Jan</a:t>
          </a:r>
        </a:p>
        <a:p>
          <a:pPr algn="l"/>
          <a:r>
            <a:rPr lang="en-US" sz="800" dirty="0">
              <a:solidFill>
                <a:srgbClr val="FFFFFF"/>
              </a:solidFill>
              <a:latin typeface="Calibri"/>
              <a:cs typeface="Calibri"/>
            </a:rPr>
            <a:t>2026 to Aug 2026) and links to Ending MRR on</a:t>
          </a:r>
        </a:p>
        <a:p>
          <a:pPr algn="l"/>
          <a:r>
            <a:rPr lang="en-US" sz="800" dirty="0">
              <a:solidFill>
                <a:srgbClr val="FFFFFF"/>
              </a:solidFill>
              <a:latin typeface="Calibri"/>
              <a:cs typeface="Calibri"/>
            </a:rPr>
            <a:t>Revenue after that, where P&amp;L switches from...</a:t>
          </a:r>
        </a:p>
      </xdr:txBody>
    </xdr:sp>
    <xdr:clientData/>
  </xdr:oneCellAnchor>
  <xdr:oneCellAnchor>
    <xdr:from>
      <xdr:col>72</xdr:col>
      <xdr:colOff>118188</xdr:colOff>
      <xdr:row>15</xdr:row>
      <xdr:rowOff>159104</xdr:rowOff>
    </xdr:from>
    <xdr:ext cx="2432493" cy="361950"/>
    <xdr:sp macro="" textlink="">
      <xdr:nvSpPr>
        <xdr:cNvPr id="214" name="Note 7: Typed number: put the link back; the..." descr="Cash, May 2027 (Balance Sheet!R4), a typed number in a row of formulas (also the month the Balance Check row fails), is a test value left in, per the owner: put the link back; the owner wrote: &quot;Priya typed a rounded figure while testing a scenario and never put the link back.&quot;"/>
        <xdr:cNvSpPr/>
      </xdr:nvSpPr>
      <xdr:spPr>
        <a:xfrm>
          <a:off x="8868488" y="2826104"/>
          <a:ext cx="2432493" cy="361950"/>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Typed number: Priya typed a rounded figure while</a:t>
          </a:r>
        </a:p>
        <a:p>
          <a:pPr algn="l"/>
          <a:r>
            <a:rPr lang="en-US" sz="800" dirty="0">
              <a:solidFill>
                <a:srgbClr val="FFFFFF"/>
              </a:solidFill>
              <a:latin typeface="Calibri"/>
              <a:cs typeface="Calibri"/>
            </a:rPr>
            <a:t>testing a scenario and never put the link back.</a:t>
          </a:r>
        </a:p>
      </xdr:txBody>
    </xdr:sp>
    <xdr:clientData/>
  </xdr:oneCellAnchor>
  <xdr:oneCellAnchor>
    <xdr:from>
      <xdr:col>85</xdr:col>
      <xdr:colOff>12382</xdr:colOff>
      <xdr:row>36</xdr:row>
      <xdr:rowOff>44571</xdr:rowOff>
    </xdr:from>
    <xdr:ext cx="2495550" cy="485775"/>
    <xdr:sp macro="" textlink="">
      <xdr:nvSpPr>
        <xdr:cNvPr id="215" name="Note 8: Asked &quot;The Equity raised row on Cash..." descr="Asked &quot;The Equity raised row on Cash Flow is typed, not calculated (its only number is 15,000,000 in Equity raised, Mar 2027 (Cash Flow!P11)). What is it?&quot;, the owner picked &quot;A plan&quot; (&quot;Not real yet&quot;); the owner wrote: &quot;The $15M Series B is planned for March 2027. It is not closed yet.&quot;"/>
        <xdr:cNvSpPr/>
      </xdr:nvSpPr>
      <xdr:spPr>
        <a:xfrm>
          <a:off x="10908982" y="6712071"/>
          <a:ext cx="2495550"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Asked "The Equity raised row on Cash Flow is typed,</a:t>
          </a:r>
        </a:p>
        <a:p>
          <a:pPr algn="l"/>
          <a:r>
            <a:rPr lang="en-US" sz="800" dirty="0">
              <a:solidFill>
                <a:srgbClr val="FFFFFF"/>
              </a:solidFill>
              <a:latin typeface="Calibri"/>
              <a:cs typeface="Calibri"/>
            </a:rPr>
            <a:t>not calculated (its only number is 15,000,000 in</a:t>
          </a:r>
        </a:p>
        <a:p>
          <a:pPr algn="l"/>
          <a:r>
            <a:rPr lang="en-US" sz="800" dirty="0">
              <a:solidFill>
                <a:srgbClr val="FFFFFF"/>
              </a:solidFill>
              <a:latin typeface="Calibri"/>
              <a:cs typeface="Calibri"/>
            </a:rPr>
            <a:t>Equity raised, Mar 2027 (Cash Flow!P11)). What is...</a:t>
          </a:r>
        </a:p>
      </xdr:txBody>
    </xdr:sp>
    <xdr:clientData/>
  </xdr:oneCellAnchor>
  <xdr:oneCellAnchor>
    <xdr:from>
      <xdr:col>29</xdr:col>
      <xdr:colOff>132740</xdr:colOff>
      <xdr:row>42</xdr:row>
      <xdr:rowOff>145473</xdr:rowOff>
    </xdr:from>
    <xdr:ext cx="2495550" cy="485775"/>
    <xdr:sp macro="" textlink="">
      <xdr:nvSpPr>
        <xdr:cNvPr id="216" name="Note 9: Asked &quot;On Revenue, New MRR = Beginning..." descr="Asked &quot;On Revenue, New MRR = Beginning MRR x Growth (Inputs!B4) in Sep 2026 to Dec 2028 (27 of its 28 formula cells). On Revenue, Churned MRR = Beginning MRR x Monthly churn (Inputs!B5) in Sep 2026 to Dec 2028. Ending MRR adds New MRR and subtracts Churned MRR. Is Growth a rate per month on..."/>
        <xdr:cNvSpPr/>
      </xdr:nvSpPr>
      <xdr:spPr>
        <a:xfrm>
          <a:off x="1783740" y="7955973"/>
          <a:ext cx="2495550" cy="485775"/>
        </a:xfrm>
        <a:prstGeom prst="foldedCorner">
          <a:avLst/>
        </a:prstGeom>
        <a:solidFill>
          <a:srgbClr val="4F7CFF"/>
        </a:solidFill>
        <a:ln w="9525">
          <a:solidFill>
            <a:srgbClr val="3351A6"/>
          </a:solidFill>
        </a:ln>
      </xdr:spPr>
      <xdr:txBody>
        <a:bodyPr wrap="none" lIns="85725" tIns="38100" rIns="85725" bIns="38100" anchor="ctr" rtlCol="0" vertOverflow="overflow" horzOverflow="overflow">
          <a:noAutofit/>
        </a:bodyPr>
        <a:lstStyle/>
        <a:p>
          <a:pPr algn="l"/>
          <a:r>
            <a:rPr lang="en-US" sz="800" dirty="0">
              <a:solidFill>
                <a:srgbClr val="FFFFFF"/>
              </a:solidFill>
              <a:latin typeface="Calibri"/>
              <a:cs typeface="Calibri"/>
            </a:rPr>
            <a:t>Asked "On Revenue, New MRR = Beginning MRR x</a:t>
          </a:r>
        </a:p>
        <a:p>
          <a:pPr algn="l"/>
          <a:r>
            <a:rPr lang="en-US" sz="800" dirty="0">
              <a:solidFill>
                <a:srgbClr val="FFFFFF"/>
              </a:solidFill>
              <a:latin typeface="Calibri"/>
              <a:cs typeface="Calibri"/>
            </a:rPr>
            <a:t>Growth (Inputs!B4) in Sep 2026 to Dec 2028 (27 of its</a:t>
          </a:r>
        </a:p>
        <a:p>
          <a:pPr algn="l"/>
          <a:r>
            <a:rPr lang="en-US" sz="800" dirty="0">
              <a:solidFill>
                <a:srgbClr val="FFFFFF"/>
              </a:solidFill>
              <a:latin typeface="Calibri"/>
              <a:cs typeface="Calibri"/>
            </a:rPr>
            <a:t>28 formula cells). On Revenue, Churned MRR =...</a:t>
          </a:r>
        </a:p>
      </xdr:txBody>
    </xdr:sp>
    <xdr:clientData/>
  </xdr:oneCellAnchor>
  <xdr:oneCellAnchor>
    <xdr:from>
      <xdr:col>79</xdr:col>
      <xdr:colOff>101392</xdr:colOff>
      <xdr:row>20</xdr:row>
      <xdr:rowOff>28213</xdr:rowOff>
    </xdr:from>
    <xdr:ext cx="161925" cy="161925"/>
    <xdr:sp macro="" textlink="">
      <xdr:nvSpPr>
        <xdr:cNvPr id="217" name="Marker 1: The Balance Check row on Balance Sheet..." descr="The Balance Check row on Balance Sheet is not zero in 1 of 36 periods (May 2027); the gap is 26,110.52; in that month Cash, May 2027 (Balance Sheet!R4) is a typed number in a row of formulas."/>
        <xdr:cNvSpPr/>
      </xdr:nvSpPr>
      <xdr:spPr>
        <a:xfrm>
          <a:off x="10007392" y="3647713"/>
          <a:ext cx="161925" cy="16192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1</a:t>
          </a:r>
        </a:p>
      </xdr:txBody>
    </xdr:sp>
    <xdr:clientData/>
  </xdr:oneCellAnchor>
  <xdr:oneCellAnchor>
    <xdr:from>
      <xdr:col>52</xdr:col>
      <xdr:colOff>99748</xdr:colOff>
      <xdr:row>26</xdr:row>
      <xdr:rowOff>129300</xdr:rowOff>
    </xdr:from>
    <xdr:ext cx="161925" cy="161925"/>
    <xdr:sp macro="" textlink="">
      <xdr:nvSpPr>
        <xdr:cNvPr id="218" name="Marker 2: 3 formulas break the pattern of their..." descr="3 formulas break the pattern of their row or column (New MRR, Nov 2027 (Revenue!X5), G&amp;A, Mar 2028 (P&amp;L!AB9), Accounts Receivable, Jul 2028 (Balance Sheet!AF5))."/>
        <xdr:cNvSpPr/>
      </xdr:nvSpPr>
      <xdr:spPr>
        <a:xfrm>
          <a:off x="5548048" y="4891800"/>
          <a:ext cx="161925" cy="16192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2</a:t>
          </a:r>
        </a:p>
      </xdr:txBody>
    </xdr:sp>
    <xdr:clientData/>
  </xdr:oneCellAnchor>
  <xdr:oneCellAnchor>
    <xdr:from>
      <xdr:col>64</xdr:col>
      <xdr:colOff>115640</xdr:colOff>
      <xdr:row>12</xdr:row>
      <xdr:rowOff>35671</xdr:rowOff>
    </xdr:from>
    <xdr:ext cx="161925" cy="161925"/>
    <xdr:sp macro="" textlink="">
      <xdr:nvSpPr>
        <xdr:cNvPr id="219" name="Marker 3: 1 formula contains a typed number..." descr="1 formula contains a typed number: Revenue, Jan 2027 (P&amp;L!N4) uses 1.07, a typed multiplier on a link that adds 17,967.94."/>
        <xdr:cNvSpPr/>
      </xdr:nvSpPr>
      <xdr:spPr>
        <a:xfrm>
          <a:off x="7545140" y="2131171"/>
          <a:ext cx="161925" cy="16192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3</a:t>
          </a:r>
        </a:p>
      </xdr:txBody>
    </xdr:sp>
    <xdr:clientData/>
  </xdr:oneCellAnchor>
  <xdr:oneCellAnchor>
    <xdr:from>
      <xdr:col>81</xdr:col>
      <xdr:colOff>66467</xdr:colOff>
      <xdr:row>18</xdr:row>
      <xdr:rowOff>113938</xdr:rowOff>
    </xdr:from>
    <xdr:ext cx="161925" cy="161925"/>
    <xdr:sp macro="" textlink="">
      <xdr:nvSpPr>
        <xdr:cNvPr id="220" name="Marker 4: 1 number is typed into a row that is..." descr="1 number is typed into a row that is otherwise formulas (Cash, May 2027 (Balance Sheet!R4)), so it will not update when inputs change."/>
        <xdr:cNvSpPr/>
      </xdr:nvSpPr>
      <xdr:spPr>
        <a:xfrm>
          <a:off x="10302667" y="3352438"/>
          <a:ext cx="161925" cy="16192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4</a:t>
          </a:r>
        </a:p>
      </xdr:txBody>
    </xdr:sp>
    <xdr:clientData/>
  </xdr:oneCellAnchor>
  <xdr:oneCellAnchor>
    <xdr:from>
      <xdr:col>82</xdr:col>
      <xdr:colOff>57518</xdr:colOff>
      <xdr:row>32</xdr:row>
      <xdr:rowOff>73146</xdr:rowOff>
    </xdr:from>
    <xdr:ext cx="161925" cy="161925"/>
    <xdr:sp macro="" textlink="">
      <xdr:nvSpPr>
        <xdr:cNvPr id="221" name="Marker 5: The Equity raised row on Cash Flow is..." descr="The Equity raised row on Cash Flow is typed, not calculated, on a tab that is otherwise formulas (its only number is 15,000,000, in Equity raised, Mar 2027 (Cash Flow!P11))."/>
        <xdr:cNvSpPr/>
      </xdr:nvSpPr>
      <xdr:spPr>
        <a:xfrm>
          <a:off x="10458818" y="5978646"/>
          <a:ext cx="161925" cy="16192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5</a:t>
          </a:r>
        </a:p>
      </xdr:txBody>
    </xdr:sp>
    <xdr:clientData/>
  </xdr:oneCellAnchor>
  <xdr:oneCellAnchor>
    <xdr:from>
      <xdr:col>32</xdr:col>
      <xdr:colOff>33570</xdr:colOff>
      <xdr:row>19</xdr:row>
      <xdr:rowOff>100717</xdr:rowOff>
    </xdr:from>
    <xdr:ext cx="161925" cy="161925"/>
    <xdr:sp macro="" textlink="">
      <xdr:nvSpPr>
        <xdr:cNvPr id="222" name="Marker 6: 1 input on Inputs is never used by any..." descr="1 input on Inputs is never used by any formula: Starting MRR in B3; the same 185,000 is typed in Beginning MRR, Jan 2026 (Revenue!B4), and nothing links them."/>
        <xdr:cNvSpPr/>
      </xdr:nvSpPr>
      <xdr:spPr>
        <a:xfrm>
          <a:off x="2179870" y="3529717"/>
          <a:ext cx="161925" cy="16192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6</a:t>
          </a:r>
        </a:p>
      </xdr:txBody>
    </xdr:sp>
    <xdr:clientData/>
  </xdr:oneCellAnchor>
  <xdr:oneCellAnchor>
    <xdr:from>
      <xdr:col>102</xdr:col>
      <xdr:colOff>50800</xdr:colOff>
      <xdr:row>5</xdr:row>
      <xdr:rowOff>152400</xdr:rowOff>
    </xdr:from>
    <xdr:ext cx="2971800" cy="152400"/>
    <xdr:sp macro="" textlink="">
      <xdr:nvSpPr>
        <xdr:cNvPr id="400" name="Panel title 1"/>
        <xdr:cNvSpPr txBox="1"/>
      </xdr:nvSpPr>
      <xdr:spPr>
        <a:xfrm>
          <a:off x="13754100" y="914400"/>
          <a:ext cx="2971800" cy="152400"/>
        </a:xfrm>
        <a:prstGeom prst="rect">
          <a:avLst/>
        </a:prstGeom>
        <a:noFill/>
        <a:ln>
          <a:noFill/>
        </a:ln>
      </xdr:spPr>
      <xdr:txBody>
        <a:bodyPr wrap="none" lIns="0" tIns="0" rIns="0" bIns="0" anchor="t" rtlCol="0" vertOverflow="overflow" horzOverflow="overflow">
          <a:noAutofit/>
        </a:bodyPr>
        <a:lstStyle/>
        <a:p>
          <a:pPr algn="l"/>
          <a:r>
            <a:rPr lang="en-US" sz="850" b="1" dirty="0">
              <a:solidFill>
                <a:srgbClr val="7B9DFF"/>
              </a:solidFill>
              <a:latin typeface="Calibri"/>
              <a:cs typeface="Calibri"/>
            </a:rPr>
            <a:t>What the owner said about the whole file</a:t>
          </a:r>
        </a:p>
      </xdr:txBody>
    </xdr:sp>
    <xdr:clientData/>
  </xdr:oneCellAnchor>
  <xdr:oneCellAnchor>
    <xdr:from>
      <xdr:col>102</xdr:col>
      <xdr:colOff>79375</xdr:colOff>
      <xdr:row>6</xdr:row>
      <xdr:rowOff>176212</xdr:rowOff>
    </xdr:from>
    <xdr:ext cx="95250" cy="95250"/>
    <xdr:sp macro="" textlink="">
      <xdr:nvSpPr>
        <xdr:cNvPr id="401" name="Panel bullet 1"/>
        <xdr:cNvSpPr/>
      </xdr:nvSpPr>
      <xdr:spPr>
        <a:xfrm>
          <a:off x="13782675" y="1128712"/>
          <a:ext cx="95250" cy="95250"/>
        </a:xfrm>
        <a:prstGeom prst="foldedCorner">
          <a:avLst/>
        </a:prstGeom>
        <a:solidFill>
          <a:srgbClr val="4F7CFF"/>
        </a:solidFill>
        <a:ln w="6350">
          <a:solidFill>
            <a:srgbClr val="3351A6"/>
          </a:solidFill>
        </a:ln>
      </xdr:spPr>
    </xdr:sp>
    <xdr:clientData/>
  </xdr:oneCellAnchor>
  <xdr:oneCellAnchor>
    <xdr:from>
      <xdr:col>103</xdr:col>
      <xdr:colOff>76200</xdr:colOff>
      <xdr:row>6</xdr:row>
      <xdr:rowOff>152400</xdr:rowOff>
    </xdr:from>
    <xdr:ext cx="2857500" cy="390525"/>
    <xdr:sp macro="" textlink="">
      <xdr:nvSpPr>
        <xdr:cNvPr id="402" name="Panel note 1"/>
        <xdr:cNvSpPr txBox="1"/>
      </xdr:nvSpPr>
      <xdr:spPr>
        <a:xfrm>
          <a:off x="13944600" y="1104900"/>
          <a:ext cx="2857500" cy="390525"/>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E6E4DE"/>
              </a:solidFill>
              <a:latin typeface="Calibri"/>
              <a:cs typeface="Calibri"/>
            </a:rPr>
            <a:t>Asked "What do you want from this sheet?", the owner picked</a:t>
          </a:r>
        </a:p>
        <a:p>
          <a:pPr algn="l"/>
          <a:r>
            <a:rPr lang="en-US" sz="800" dirty="0">
              <a:solidFill>
                <a:srgbClr val="E6E4DE"/>
              </a:solidFill>
              <a:latin typeface="Calibri"/>
              <a:cs typeface="Calibri"/>
            </a:rPr>
            <a:t>"Check it for errors"; the owner wrote: "Get the model clean</a:t>
          </a:r>
        </a:p>
        <a:p>
          <a:pPr algn="l"/>
          <a:r>
            <a:rPr lang="en-US" sz="800" dirty="0">
              <a:solidFill>
                <a:srgbClr val="E6E4DE"/>
              </a:solidFill>
              <a:latin typeface="Calibri"/>
              <a:cs typeface="Calibri"/>
            </a:rPr>
            <a:t>before it goes to the board and investors in October, and answer...</a:t>
          </a:r>
        </a:p>
      </xdr:txBody>
    </xdr:sp>
    <xdr:clientData/>
  </xdr:oneCellAnchor>
  <xdr:oneCellAnchor>
    <xdr:from>
      <xdr:col>102</xdr:col>
      <xdr:colOff>79375</xdr:colOff>
      <xdr:row>9</xdr:row>
      <xdr:rowOff>42862</xdr:rowOff>
    </xdr:from>
    <xdr:ext cx="95250" cy="95250"/>
    <xdr:sp macro="" textlink="">
      <xdr:nvSpPr>
        <xdr:cNvPr id="403" name="Panel bullet 2"/>
        <xdr:cNvSpPr/>
      </xdr:nvSpPr>
      <xdr:spPr>
        <a:xfrm>
          <a:off x="13782675" y="1566862"/>
          <a:ext cx="95250" cy="95250"/>
        </a:xfrm>
        <a:prstGeom prst="foldedCorner">
          <a:avLst/>
        </a:prstGeom>
        <a:solidFill>
          <a:srgbClr val="4F7CFF"/>
        </a:solidFill>
        <a:ln w="6350">
          <a:solidFill>
            <a:srgbClr val="3351A6"/>
          </a:solidFill>
        </a:ln>
      </xdr:spPr>
    </xdr:sp>
    <xdr:clientData/>
  </xdr:oneCellAnchor>
  <xdr:oneCellAnchor>
    <xdr:from>
      <xdr:col>103</xdr:col>
      <xdr:colOff>76200</xdr:colOff>
      <xdr:row>9</xdr:row>
      <xdr:rowOff>19050</xdr:rowOff>
    </xdr:from>
    <xdr:ext cx="2857500" cy="390525"/>
    <xdr:sp macro="" textlink="">
      <xdr:nvSpPr>
        <xdr:cNvPr id="404" name="Panel note 2"/>
        <xdr:cNvSpPr txBox="1"/>
      </xdr:nvSpPr>
      <xdr:spPr>
        <a:xfrm>
          <a:off x="13944600" y="1543050"/>
          <a:ext cx="2857500" cy="390525"/>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E6E4DE"/>
              </a:solidFill>
              <a:latin typeface="Calibri"/>
              <a:cs typeface="Calibri"/>
            </a:rPr>
            <a:t>Asked "On P&amp;L and Revenue, months through Aug 2026 are typed</a:t>
          </a:r>
        </a:p>
        <a:p>
          <a:pPr algn="l"/>
          <a:r>
            <a:rPr lang="en-US" sz="800" dirty="0">
              <a:solidFill>
                <a:srgbClr val="E6E4DE"/>
              </a:solidFill>
              <a:latin typeface="Calibri"/>
              <a:cs typeface="Calibri"/>
            </a:rPr>
            <a:t>numbers and later months are formulas on 11 rows, which looks</a:t>
          </a:r>
        </a:p>
        <a:p>
          <a:pPr algn="l"/>
          <a:r>
            <a:rPr lang="en-US" sz="800" dirty="0">
              <a:solidFill>
                <a:srgbClr val="E6E4DE"/>
              </a:solidFill>
              <a:latin typeface="Calibri"/>
              <a:cs typeface="Calibri"/>
            </a:rPr>
            <a:t>like the end of actuals. Where do actuals stop and the forecast...</a:t>
          </a:r>
        </a:p>
      </xdr:txBody>
    </xdr:sp>
    <xdr:clientData/>
  </xdr:oneCellAnchor>
  <xdr:oneCellAnchor>
    <xdr:from>
      <xdr:col>102</xdr:col>
      <xdr:colOff>50800</xdr:colOff>
      <xdr:row>11</xdr:row>
      <xdr:rowOff>152400</xdr:rowOff>
    </xdr:from>
    <xdr:ext cx="2971800" cy="152400"/>
    <xdr:sp macro="" textlink="">
      <xdr:nvSpPr>
        <xdr:cNvPr id="405" name="Panel title 2"/>
        <xdr:cNvSpPr txBox="1"/>
      </xdr:nvSpPr>
      <xdr:spPr>
        <a:xfrm>
          <a:off x="13754100" y="2057400"/>
          <a:ext cx="2971800" cy="152400"/>
        </a:xfrm>
        <a:prstGeom prst="rect">
          <a:avLst/>
        </a:prstGeom>
        <a:noFill/>
        <a:ln>
          <a:noFill/>
        </a:ln>
      </xdr:spPr>
      <xdr:txBody>
        <a:bodyPr wrap="none" lIns="0" tIns="0" rIns="0" bIns="0" anchor="t" rtlCol="0" vertOverflow="overflow" horzOverflow="overflow">
          <a:noAutofit/>
        </a:bodyPr>
        <a:lstStyle/>
        <a:p>
          <a:pPr algn="l"/>
          <a:r>
            <a:rPr lang="en-US" sz="850" b="1" dirty="0">
              <a:solidFill>
                <a:srgbClr val="E8C67F"/>
              </a:solidFill>
              <a:latin typeface="Calibri"/>
              <a:cs typeface="Calibri"/>
            </a:rPr>
            <a:t>What code found</a:t>
          </a:r>
        </a:p>
      </xdr:txBody>
    </xdr:sp>
    <xdr:clientData/>
  </xdr:oneCellAnchor>
  <xdr:oneCellAnchor>
    <xdr:from>
      <xdr:col>102</xdr:col>
      <xdr:colOff>55562</xdr:colOff>
      <xdr:row>12</xdr:row>
      <xdr:rowOff>152400</xdr:rowOff>
    </xdr:from>
    <xdr:ext cx="142875" cy="142875"/>
    <xdr:sp macro="" textlink="">
      <xdr:nvSpPr>
        <xdr:cNvPr id="406" name="Panel marker 1" descr="The Balance Check row on Balance Sheet is not zero in 1 of 36 periods (May 2027); the gap is 26,110.52; in that month Cash, May 2027 (Balance Sheet!R4) is a typed number in a row of formulas."/>
        <xdr:cNvSpPr/>
      </xdr:nvSpPr>
      <xdr:spPr>
        <a:xfrm>
          <a:off x="13758862" y="2247900"/>
          <a:ext cx="142875" cy="14287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1</a:t>
          </a:r>
        </a:p>
      </xdr:txBody>
    </xdr:sp>
    <xdr:clientData/>
  </xdr:oneCellAnchor>
  <xdr:oneCellAnchor>
    <xdr:from>
      <xdr:col>103</xdr:col>
      <xdr:colOff>76200</xdr:colOff>
      <xdr:row>12</xdr:row>
      <xdr:rowOff>152400</xdr:rowOff>
    </xdr:from>
    <xdr:ext cx="2857500" cy="266700"/>
    <xdr:sp macro="" textlink="">
      <xdr:nvSpPr>
        <xdr:cNvPr id="407" name="Panel note 3"/>
        <xdr:cNvSpPr txBox="1"/>
      </xdr:nvSpPr>
      <xdr:spPr>
        <a:xfrm>
          <a:off x="13944600" y="2247900"/>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The Balance Check row on Balance Sheet is not zero in 1 of 36</a:t>
          </a:r>
        </a:p>
        <a:p>
          <a:pPr algn="l"/>
          <a:r>
            <a:rPr lang="en-US" sz="800" dirty="0">
              <a:solidFill>
                <a:srgbClr val="C9C7C0"/>
              </a:solidFill>
              <a:latin typeface="Calibri"/>
              <a:cs typeface="Calibri"/>
            </a:rPr>
            <a:t>periods (May 2027); the gap is 26,110.52; in that month Cash...</a:t>
          </a:r>
        </a:p>
      </xdr:txBody>
    </xdr:sp>
    <xdr:clientData/>
  </xdr:oneCellAnchor>
  <xdr:oneCellAnchor>
    <xdr:from>
      <xdr:col>102</xdr:col>
      <xdr:colOff>55562</xdr:colOff>
      <xdr:row>14</xdr:row>
      <xdr:rowOff>85725</xdr:rowOff>
    </xdr:from>
    <xdr:ext cx="142875" cy="142875"/>
    <xdr:sp macro="" textlink="">
      <xdr:nvSpPr>
        <xdr:cNvPr id="408" name="Panel marker 2" descr="3 formulas break the pattern of their row or column (New MRR, Nov 2027 (Revenue!X5), G&amp;A, Mar 2028 (P&amp;L!AB9), Accounts Receivable, Jul 2028 (Balance Sheet!AF5))."/>
        <xdr:cNvSpPr/>
      </xdr:nvSpPr>
      <xdr:spPr>
        <a:xfrm>
          <a:off x="13758862" y="2562225"/>
          <a:ext cx="142875" cy="14287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2</a:t>
          </a:r>
        </a:p>
      </xdr:txBody>
    </xdr:sp>
    <xdr:clientData/>
  </xdr:oneCellAnchor>
  <xdr:oneCellAnchor>
    <xdr:from>
      <xdr:col>103</xdr:col>
      <xdr:colOff>76200</xdr:colOff>
      <xdr:row>14</xdr:row>
      <xdr:rowOff>85725</xdr:rowOff>
    </xdr:from>
    <xdr:ext cx="2857500" cy="266700"/>
    <xdr:sp macro="" textlink="">
      <xdr:nvSpPr>
        <xdr:cNvPr id="409" name="Panel note 4"/>
        <xdr:cNvSpPr txBox="1"/>
      </xdr:nvSpPr>
      <xdr:spPr>
        <a:xfrm>
          <a:off x="13944600" y="2562225"/>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3 formulas break the pattern of their row or column (New MRR,</a:t>
          </a:r>
        </a:p>
        <a:p>
          <a:pPr algn="l"/>
          <a:r>
            <a:rPr lang="en-US" sz="800" dirty="0">
              <a:solidFill>
                <a:srgbClr val="C9C7C0"/>
              </a:solidFill>
              <a:latin typeface="Calibri"/>
              <a:cs typeface="Calibri"/>
            </a:rPr>
            <a:t>Nov 2027 (Revenue!X5), G&amp;A, Mar 2028 (P&amp;L!AB9), Accounts...</a:t>
          </a:r>
        </a:p>
      </xdr:txBody>
    </xdr:sp>
    <xdr:clientData/>
  </xdr:oneCellAnchor>
  <xdr:oneCellAnchor>
    <xdr:from>
      <xdr:col>102</xdr:col>
      <xdr:colOff>55562</xdr:colOff>
      <xdr:row>16</xdr:row>
      <xdr:rowOff>19050</xdr:rowOff>
    </xdr:from>
    <xdr:ext cx="142875" cy="142875"/>
    <xdr:sp macro="" textlink="">
      <xdr:nvSpPr>
        <xdr:cNvPr id="410" name="Panel marker 3" descr="1 formula contains a typed number: Revenue, Jan 2027 (P&amp;L!N4) uses 1.07, a typed multiplier on a link that adds 17,967.94."/>
        <xdr:cNvSpPr/>
      </xdr:nvSpPr>
      <xdr:spPr>
        <a:xfrm>
          <a:off x="13758862" y="2876550"/>
          <a:ext cx="142875" cy="14287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3</a:t>
          </a:r>
        </a:p>
      </xdr:txBody>
    </xdr:sp>
    <xdr:clientData/>
  </xdr:oneCellAnchor>
  <xdr:oneCellAnchor>
    <xdr:from>
      <xdr:col>103</xdr:col>
      <xdr:colOff>76200</xdr:colOff>
      <xdr:row>16</xdr:row>
      <xdr:rowOff>19050</xdr:rowOff>
    </xdr:from>
    <xdr:ext cx="2857500" cy="266700"/>
    <xdr:sp macro="" textlink="">
      <xdr:nvSpPr>
        <xdr:cNvPr id="411" name="Panel note 5"/>
        <xdr:cNvSpPr txBox="1"/>
      </xdr:nvSpPr>
      <xdr:spPr>
        <a:xfrm>
          <a:off x="13944600" y="2876550"/>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1 formula contains a typed number: Revenue, Jan 2027 (P&amp;L!N4)</a:t>
          </a:r>
        </a:p>
        <a:p>
          <a:pPr algn="l"/>
          <a:r>
            <a:rPr lang="en-US" sz="800" dirty="0">
              <a:solidFill>
                <a:srgbClr val="C9C7C0"/>
              </a:solidFill>
              <a:latin typeface="Calibri"/>
              <a:cs typeface="Calibri"/>
            </a:rPr>
            <a:t>uses 1.07, a typed multiplier on a link that adds 17,967.94</a:t>
          </a:r>
        </a:p>
      </xdr:txBody>
    </xdr:sp>
    <xdr:clientData/>
  </xdr:oneCellAnchor>
  <xdr:oneCellAnchor>
    <xdr:from>
      <xdr:col>102</xdr:col>
      <xdr:colOff>55562</xdr:colOff>
      <xdr:row>17</xdr:row>
      <xdr:rowOff>142875</xdr:rowOff>
    </xdr:from>
    <xdr:ext cx="142875" cy="142875"/>
    <xdr:sp macro="" textlink="">
      <xdr:nvSpPr>
        <xdr:cNvPr id="412" name="Panel marker 4" descr="1 number is typed into a row that is otherwise formulas (Cash, May 2027 (Balance Sheet!R4)), so it will not update when inputs change."/>
        <xdr:cNvSpPr/>
      </xdr:nvSpPr>
      <xdr:spPr>
        <a:xfrm>
          <a:off x="13758862" y="3190875"/>
          <a:ext cx="142875" cy="14287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4</a:t>
          </a:r>
        </a:p>
      </xdr:txBody>
    </xdr:sp>
    <xdr:clientData/>
  </xdr:oneCellAnchor>
  <xdr:oneCellAnchor>
    <xdr:from>
      <xdr:col>103</xdr:col>
      <xdr:colOff>76200</xdr:colOff>
      <xdr:row>17</xdr:row>
      <xdr:rowOff>142875</xdr:rowOff>
    </xdr:from>
    <xdr:ext cx="2857500" cy="266700"/>
    <xdr:sp macro="" textlink="">
      <xdr:nvSpPr>
        <xdr:cNvPr id="413" name="Panel note 6"/>
        <xdr:cNvSpPr txBox="1"/>
      </xdr:nvSpPr>
      <xdr:spPr>
        <a:xfrm>
          <a:off x="13944600" y="3190875"/>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1 number is typed into a row that is otherwise formulas (Cash, May</a:t>
          </a:r>
        </a:p>
        <a:p>
          <a:pPr algn="l"/>
          <a:r>
            <a:rPr lang="en-US" sz="800" dirty="0">
              <a:solidFill>
                <a:srgbClr val="C9C7C0"/>
              </a:solidFill>
              <a:latin typeface="Calibri"/>
              <a:cs typeface="Calibri"/>
            </a:rPr>
            <a:t>2027 (Balance Sheet!R4)), so it will not update when inputs change</a:t>
          </a:r>
        </a:p>
      </xdr:txBody>
    </xdr:sp>
    <xdr:clientData/>
  </xdr:oneCellAnchor>
  <xdr:oneCellAnchor>
    <xdr:from>
      <xdr:col>102</xdr:col>
      <xdr:colOff>55562</xdr:colOff>
      <xdr:row>19</xdr:row>
      <xdr:rowOff>76200</xdr:rowOff>
    </xdr:from>
    <xdr:ext cx="142875" cy="142875"/>
    <xdr:sp macro="" textlink="">
      <xdr:nvSpPr>
        <xdr:cNvPr id="414" name="Panel marker 5" descr="The Equity raised row on Cash Flow is typed, not calculated, on a tab that is otherwise formulas (its only number is 15,000,000, in Equity raised, Mar 2027 (Cash Flow!P11))."/>
        <xdr:cNvSpPr/>
      </xdr:nvSpPr>
      <xdr:spPr>
        <a:xfrm>
          <a:off x="13758862" y="3505200"/>
          <a:ext cx="142875" cy="14287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5</a:t>
          </a:r>
        </a:p>
      </xdr:txBody>
    </xdr:sp>
    <xdr:clientData/>
  </xdr:oneCellAnchor>
  <xdr:oneCellAnchor>
    <xdr:from>
      <xdr:col>103</xdr:col>
      <xdr:colOff>76200</xdr:colOff>
      <xdr:row>19</xdr:row>
      <xdr:rowOff>76200</xdr:rowOff>
    </xdr:from>
    <xdr:ext cx="2857500" cy="266700"/>
    <xdr:sp macro="" textlink="">
      <xdr:nvSpPr>
        <xdr:cNvPr id="415" name="Panel note 7"/>
        <xdr:cNvSpPr txBox="1"/>
      </xdr:nvSpPr>
      <xdr:spPr>
        <a:xfrm>
          <a:off x="13944600" y="3505200"/>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The Equity raised row on Cash Flow is typed, not calculated, on a</a:t>
          </a:r>
        </a:p>
        <a:p>
          <a:pPr algn="l"/>
          <a:r>
            <a:rPr lang="en-US" sz="800" dirty="0">
              <a:solidFill>
                <a:srgbClr val="C9C7C0"/>
              </a:solidFill>
              <a:latin typeface="Calibri"/>
              <a:cs typeface="Calibri"/>
            </a:rPr>
            <a:t>tab that is otherwise formulas (its only number is 15,000,000, in...</a:t>
          </a:r>
        </a:p>
      </xdr:txBody>
    </xdr:sp>
    <xdr:clientData/>
  </xdr:oneCellAnchor>
  <xdr:oneCellAnchor>
    <xdr:from>
      <xdr:col>102</xdr:col>
      <xdr:colOff>55562</xdr:colOff>
      <xdr:row>21</xdr:row>
      <xdr:rowOff>9525</xdr:rowOff>
    </xdr:from>
    <xdr:ext cx="142875" cy="142875"/>
    <xdr:sp macro="" textlink="">
      <xdr:nvSpPr>
        <xdr:cNvPr id="416" name="Panel marker 6" descr="1 input on Inputs is never used by any formula: Starting MRR in B3; the same 185,000 is typed in Beginning MRR, Jan 2026 (Revenue!B4), and nothing links them."/>
        <xdr:cNvSpPr/>
      </xdr:nvSpPr>
      <xdr:spPr>
        <a:xfrm>
          <a:off x="13758862" y="3819525"/>
          <a:ext cx="142875" cy="142875"/>
        </a:xfrm>
        <a:prstGeom prst="ellipse">
          <a:avLst/>
        </a:prstGeom>
        <a:solidFill>
          <a:srgbClr val="E0B354"/>
        </a:solidFill>
        <a:ln w="12700">
          <a:solidFill>
            <a:srgbClr val="121211"/>
          </a:solidFill>
        </a:ln>
      </xdr:spPr>
      <xdr:txBody>
        <a:bodyPr wrap="none" lIns="0" tIns="0" rIns="0" bIns="0" anchor="ctr" rtlCol="0" vertOverflow="overflow" horzOverflow="overflow">
          <a:noAutofit/>
        </a:bodyPr>
        <a:lstStyle/>
        <a:p>
          <a:pPr algn="ctr"/>
          <a:r>
            <a:rPr lang="en-US" sz="750" b="1" dirty="0">
              <a:solidFill>
                <a:srgbClr val="1D1C1A"/>
              </a:solidFill>
              <a:latin typeface="Calibri"/>
              <a:cs typeface="Calibri"/>
            </a:rPr>
            <a:t>6</a:t>
          </a:r>
        </a:p>
      </xdr:txBody>
    </xdr:sp>
    <xdr:clientData/>
  </xdr:oneCellAnchor>
  <xdr:oneCellAnchor>
    <xdr:from>
      <xdr:col>103</xdr:col>
      <xdr:colOff>76200</xdr:colOff>
      <xdr:row>21</xdr:row>
      <xdr:rowOff>9525</xdr:rowOff>
    </xdr:from>
    <xdr:ext cx="2857500" cy="266700"/>
    <xdr:sp macro="" textlink="">
      <xdr:nvSpPr>
        <xdr:cNvPr id="417" name="Panel note 8"/>
        <xdr:cNvSpPr txBox="1"/>
      </xdr:nvSpPr>
      <xdr:spPr>
        <a:xfrm>
          <a:off x="13944600" y="3819525"/>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1 input on Inputs is never used by any formula: Starting MRR in B3;</a:t>
          </a:r>
        </a:p>
        <a:p>
          <a:pPr algn="l"/>
          <a:r>
            <a:rPr lang="en-US" sz="800" dirty="0">
              <a:solidFill>
                <a:srgbClr val="C9C7C0"/>
              </a:solidFill>
              <a:latin typeface="Calibri"/>
              <a:cs typeface="Calibri"/>
            </a:rPr>
            <a:t>the same 185,000 is typed in Beginning MRR, Jan 2026...</a:t>
          </a:r>
        </a:p>
      </xdr:txBody>
    </xdr:sp>
    <xdr:clientData/>
  </xdr:oneCellAnchor>
  <xdr:oneCellAnchor>
    <xdr:from>
      <xdr:col>102</xdr:col>
      <xdr:colOff>50800</xdr:colOff>
      <xdr:row>23</xdr:row>
      <xdr:rowOff>19050</xdr:rowOff>
    </xdr:from>
    <xdr:ext cx="2971800" cy="152400"/>
    <xdr:sp macro="" textlink="">
      <xdr:nvSpPr>
        <xdr:cNvPr id="418" name="Panel title 3"/>
        <xdr:cNvSpPr txBox="1"/>
      </xdr:nvSpPr>
      <xdr:spPr>
        <a:xfrm>
          <a:off x="13754100" y="4210050"/>
          <a:ext cx="2971800" cy="152400"/>
        </a:xfrm>
        <a:prstGeom prst="rect">
          <a:avLst/>
        </a:prstGeom>
        <a:noFill/>
        <a:ln>
          <a:noFill/>
        </a:ln>
      </xdr:spPr>
      <xdr:txBody>
        <a:bodyPr wrap="none" lIns="0" tIns="0" rIns="0" bIns="0" anchor="t" rtlCol="0" vertOverflow="overflow" horzOverflow="overflow">
          <a:noAutofit/>
        </a:bodyPr>
        <a:lstStyle/>
        <a:p>
          <a:pPr algn="l"/>
          <a:r>
            <a:rPr lang="en-US" sz="850" b="1" dirty="0">
              <a:solidFill>
                <a:srgbClr val="A7ABB2"/>
              </a:solidFill>
              <a:latin typeface="Calibri"/>
              <a:cs typeface="Calibri"/>
            </a:rPr>
            <a:t>Guesses to confirm</a:t>
          </a:r>
        </a:p>
      </xdr:txBody>
    </xdr:sp>
    <xdr:clientData/>
  </xdr:oneCellAnchor>
  <xdr:oneCellAnchor>
    <xdr:from>
      <xdr:col>102</xdr:col>
      <xdr:colOff>98425</xdr:colOff>
      <xdr:row>24</xdr:row>
      <xdr:rowOff>61912</xdr:rowOff>
    </xdr:from>
    <xdr:ext cx="57150" cy="57150"/>
    <xdr:sp macro="" textlink="">
      <xdr:nvSpPr>
        <xdr:cNvPr id="419" name="Panel bullet 9"/>
        <xdr:cNvSpPr/>
      </xdr:nvSpPr>
      <xdr:spPr>
        <a:xfrm>
          <a:off x="13801725" y="4443412"/>
          <a:ext cx="57150" cy="57150"/>
        </a:xfrm>
        <a:prstGeom prst="ellipse">
          <a:avLst/>
        </a:prstGeom>
        <a:noFill/>
        <a:ln w="12700">
          <a:solidFill>
            <a:srgbClr val="8A8F98"/>
          </a:solidFill>
        </a:ln>
      </xdr:spPr>
    </xdr:sp>
    <xdr:clientData/>
  </xdr:oneCellAnchor>
  <xdr:oneCellAnchor>
    <xdr:from>
      <xdr:col>103</xdr:col>
      <xdr:colOff>76200</xdr:colOff>
      <xdr:row>24</xdr:row>
      <xdr:rowOff>19050</xdr:rowOff>
    </xdr:from>
    <xdr:ext cx="2857500" cy="266700"/>
    <xdr:sp macro="" textlink="">
      <xdr:nvSpPr>
        <xdr:cNvPr id="420" name="Panel note 9"/>
        <xdr:cNvSpPr txBox="1"/>
      </xdr:nvSpPr>
      <xdr:spPr>
        <a:xfrm>
          <a:off x="13944600" y="4400550"/>
          <a:ext cx="2857500" cy="266700"/>
        </a:xfrm>
        <a:prstGeom prst="rect">
          <a:avLst/>
        </a:prstGeom>
        <a:noFill/>
        <a:ln>
          <a:noFill/>
        </a:ln>
      </xdr:spPr>
      <xdr:txBody>
        <a:bodyPr wrap="none" lIns="0" tIns="0" rIns="0" bIns="0" anchor="t" rtlCol="0" vertOverflow="overflow" horzOverflow="overflow">
          <a:noAutofit/>
        </a:bodyPr>
        <a:lstStyle/>
        <a:p>
          <a:pPr algn="l"/>
          <a:r>
            <a:rPr lang="en-US" sz="800" dirty="0">
              <a:solidFill>
                <a:srgbClr val="C9C7C0"/>
              </a:solidFill>
              <a:latin typeface="Calibri"/>
              <a:cs typeface="Calibri"/>
            </a:rPr>
            <a:t>No units column was found, so the scale (dollars, thousands or</a:t>
          </a:r>
        </a:p>
        <a:p>
          <a:pPr algn="l"/>
          <a:r>
            <a:rPr lang="en-US" sz="800" dirty="0">
              <a:solidFill>
                <a:srgbClr val="C9C7C0"/>
              </a:solidFill>
              <a:latin typeface="Calibri"/>
              <a:cs typeface="Calibri"/>
            </a:rPr>
            <a:t>millions) may live only in a title cell</a:t>
          </a:r>
        </a:p>
      </xdr:txBody>
    </xdr:sp>
    <xdr:clientData/>
  </xdr:oneCellAnchor>
  <xdr:oneCellAnchor>
    <xdr:from>
      <xdr:col>20</xdr:col>
      <xdr:colOff>120650</xdr:colOff>
      <xdr:row>1</xdr:row>
      <xdr:rowOff>133350</xdr:rowOff>
    </xdr:from>
    <xdr:ext cx="16573500" cy="247650"/>
    <xdr:sp macro="" textlink="">
      <xdr:nvSpPr>
        <xdr:cNvPr id="421" name="Brain title"/>
        <xdr:cNvSpPr txBox="1"/>
      </xdr:nvSpPr>
      <xdr:spPr>
        <a:xfrm>
          <a:off x="285750" y="133350"/>
          <a:ext cx="16573500" cy="247650"/>
        </a:xfrm>
        <a:prstGeom prst="rect">
          <a:avLst/>
        </a:prstGeom>
        <a:noFill/>
        <a:ln>
          <a:noFill/>
        </a:ln>
      </xdr:spPr>
      <xdr:txBody>
        <a:bodyPr wrap="none" lIns="0" tIns="0" rIns="0" bIns="0" anchor="t" rtlCol="0" vertOverflow="overflow" horzOverflow="overflow">
          <a:noAutofit/>
        </a:bodyPr>
        <a:lstStyle/>
        <a:p>
          <a:pPr algn="l"/>
          <a:r>
            <a:rPr lang="en-US" sz="1500" b="1" dirty="0">
              <a:solidFill>
                <a:srgbClr val="F2F1EC"/>
              </a:solidFill>
              <a:latin typeface="Calibri"/>
              <a:cs typeface="Calibri"/>
            </a:rPr>
            <a:t>finance_model.xlsx</a:t>
          </a:r>
          <a:r>
            <a:rPr lang="en-US" sz="900" dirty="0">
              <a:solidFill>
                <a:srgbClr val="9C9A93"/>
              </a:solidFill>
              <a:latin typeface="Calibri"/>
              <a:cs typeface="Calibri"/>
            </a:rPr>
            <a:t>    Financial model · 62 things · 11 notes from the owner · 6 findings</a:t>
          </a:r>
        </a:p>
      </xdr:txBody>
    </xdr:sp>
    <xdr:clientData/>
  </xdr:oneCellAnchor>
  <xdr:oneCellAnchor>
    <xdr:from>
      <xdr:col>20</xdr:col>
      <xdr:colOff>120650</xdr:colOff>
      <xdr:row>3</xdr:row>
      <xdr:rowOff>38100</xdr:rowOff>
    </xdr:from>
    <xdr:ext cx="16573500" cy="171450"/>
    <xdr:sp macro="" textlink="">
      <xdr:nvSpPr>
        <xdr:cNvPr id="422" name="Brain key"/>
        <xdr:cNvSpPr txBox="1"/>
      </xdr:nvSpPr>
      <xdr:spPr>
        <a:xfrm>
          <a:off x="285750" y="419100"/>
          <a:ext cx="16573500" cy="171450"/>
        </a:xfrm>
        <a:prstGeom prst="rect">
          <a:avLst/>
        </a:prstGeom>
        <a:noFill/>
        <a:ln>
          <a:noFill/>
        </a:ln>
      </xdr:spPr>
      <xdr:txBody>
        <a:bodyPr wrap="none" lIns="0" tIns="0" rIns="0" bIns="0" anchor="t" rtlCol="0" vertOverflow="overflow" horzOverflow="overflow">
          <a:noAutofit/>
        </a:bodyPr>
        <a:lstStyle/>
        <a:p>
          <a:pPr algn="l"/>
          <a:r>
            <a:rPr lang="en-US" sz="900" dirty="0">
              <a:solidFill>
                <a:srgbClr val="7FB069"/>
              </a:solidFill>
              <a:latin typeface="Calibri"/>
              <a:cs typeface="Calibri"/>
            </a:rPr>
            <a:t>● </a:t>
          </a:r>
          <a:r>
            <a:rPr lang="en-US" sz="900" dirty="0">
              <a:solidFill>
                <a:srgbClr val="C9C7C0"/>
              </a:solidFill>
              <a:latin typeface="Calibri"/>
              <a:cs typeface="Calibri"/>
            </a:rPr>
            <a:t>Balance Sheet rows     </a:t>
          </a:r>
          <a:r>
            <a:rPr lang="en-US" sz="900" dirty="0">
              <a:solidFill>
                <a:srgbClr val="D96C5F"/>
              </a:solidFill>
              <a:latin typeface="Calibri"/>
              <a:cs typeface="Calibri"/>
            </a:rPr>
            <a:t>● </a:t>
          </a:r>
          <a:r>
            <a:rPr lang="en-US" sz="900" dirty="0">
              <a:solidFill>
                <a:srgbClr val="C9C7C0"/>
              </a:solidFill>
              <a:latin typeface="Calibri"/>
              <a:cs typeface="Calibri"/>
            </a:rPr>
            <a:t>Revenue rows     </a:t>
          </a:r>
          <a:r>
            <a:rPr lang="en-US" sz="900" dirty="0">
              <a:solidFill>
                <a:srgbClr val="A77BD6"/>
              </a:solidFill>
              <a:latin typeface="Calibri"/>
              <a:cs typeface="Calibri"/>
            </a:rPr>
            <a:t>● </a:t>
          </a:r>
          <a:r>
            <a:rPr lang="en-US" sz="900" dirty="0">
              <a:solidFill>
                <a:srgbClr val="C9C7C0"/>
              </a:solidFill>
              <a:latin typeface="Calibri"/>
              <a:cs typeface="Calibri"/>
            </a:rPr>
            <a:t>P&amp;L rows     </a:t>
          </a:r>
          <a:r>
            <a:rPr lang="en-US" sz="900" dirty="0">
              <a:solidFill>
                <a:srgbClr val="E07BB0"/>
              </a:solidFill>
              <a:latin typeface="Calibri"/>
              <a:cs typeface="Calibri"/>
            </a:rPr>
            <a:t>● </a:t>
          </a:r>
          <a:r>
            <a:rPr lang="en-US" sz="900" dirty="0">
              <a:solidFill>
                <a:srgbClr val="C9C7C0"/>
              </a:solidFill>
              <a:latin typeface="Calibri"/>
              <a:cs typeface="Calibri"/>
            </a:rPr>
            <a:t>Cash Flow rows     </a:t>
          </a:r>
          <a:r>
            <a:rPr lang="en-US" sz="900" dirty="0">
              <a:solidFill>
                <a:srgbClr val="C9C34F"/>
              </a:solidFill>
              <a:latin typeface="Calibri"/>
              <a:cs typeface="Calibri"/>
            </a:rPr>
            <a:t>● </a:t>
          </a:r>
          <a:r>
            <a:rPr lang="en-US" sz="900" dirty="0">
              <a:solidFill>
                <a:srgbClr val="C9C7C0"/>
              </a:solidFill>
              <a:latin typeface="Calibri"/>
              <a:cs typeface="Calibri"/>
            </a:rPr>
            <a:t>Inputs rows     </a:t>
          </a:r>
          <a:r>
            <a:rPr lang="en-US" sz="900" dirty="0">
              <a:solidFill>
                <a:srgbClr val="8C8F96"/>
              </a:solidFill>
              <a:latin typeface="Calibri"/>
              <a:cs typeface="Calibri"/>
            </a:rPr>
            <a:t>● </a:t>
          </a:r>
          <a:r>
            <a:rPr lang="en-US" sz="900" dirty="0">
              <a:solidFill>
                <a:srgbClr val="C9C7C0"/>
              </a:solidFill>
              <a:latin typeface="Calibri"/>
              <a:cs typeface="Calibri"/>
            </a:rPr>
            <a:t>Tabs     </a:t>
          </a:r>
          <a:r>
            <a:rPr lang="en-US" sz="900" dirty="0">
              <a:solidFill>
                <a:srgbClr val="4F7CFF"/>
              </a:solidFill>
              <a:latin typeface="Calibri"/>
              <a:cs typeface="Calibri"/>
            </a:rPr>
            <a:t>■ </a:t>
          </a:r>
          <a:r>
            <a:rPr lang="en-US" sz="900" dirty="0">
              <a:solidFill>
                <a:srgbClr val="C9C7C0"/>
              </a:solidFill>
              <a:latin typeface="Calibri"/>
              <a:cs typeface="Calibri"/>
            </a:rPr>
            <a:t>What the owner said     </a:t>
          </a:r>
          <a:r>
            <a:rPr lang="en-US" sz="900" dirty="0">
              <a:solidFill>
                <a:srgbClr val="E0B354"/>
              </a:solidFill>
              <a:latin typeface="Calibri"/>
              <a:cs typeface="Calibri"/>
            </a:rPr>
            <a:t>● </a:t>
          </a:r>
          <a:r>
            <a:rPr lang="en-US" sz="900" dirty="0">
              <a:solidFill>
                <a:srgbClr val="C9C7C0"/>
              </a:solidFill>
              <a:latin typeface="Calibri"/>
              <a:cs typeface="Calibri"/>
            </a:rPr>
            <a:t>What it counted (numbered)     </a:t>
          </a:r>
          <a:r>
            <a:rPr lang="en-US" sz="900" dirty="0">
              <a:solidFill>
                <a:srgbClr val="E5534B"/>
              </a:solidFill>
              <a:latin typeface="Calibri"/>
              <a:cs typeface="Calibri"/>
            </a:rPr>
            <a:t>○ </a:t>
          </a:r>
          <a:r>
            <a:rPr lang="en-US" sz="900" dirty="0">
              <a:solidFill>
                <a:srgbClr val="C9C7C0"/>
              </a:solidFill>
              <a:latin typeface="Calibri"/>
              <a:cs typeface="Calibri"/>
            </a:rPr>
            <a:t>Red ring: worth a look     </a:t>
          </a:r>
        </a:p>
      </xdr:txBody>
    </xdr:sp>
    <xdr:clientData/>
  </xdr:oneCellAnchor>
  <xdr:oneCellAnchor>
    <xdr:from>
      <xdr:col>20</xdr:col>
      <xdr:colOff>120650</xdr:colOff>
      <xdr:row>47</xdr:row>
      <xdr:rowOff>123825</xdr:rowOff>
    </xdr:from>
    <xdr:ext cx="16573500" cy="171450"/>
    <xdr:sp macro="" textlink="">
      <xdr:nvSpPr>
        <xdr:cNvPr id="423" name="Brain tip"/>
        <xdr:cNvSpPr txBox="1"/>
      </xdr:nvSpPr>
      <xdr:spPr>
        <a:xfrm>
          <a:off x="285750" y="8886825"/>
          <a:ext cx="16573500" cy="171450"/>
        </a:xfrm>
        <a:prstGeom prst="rect">
          <a:avLst/>
        </a:prstGeom>
        <a:noFill/>
        <a:ln>
          <a:noFill/>
        </a:ln>
      </xdr:spPr>
      <xdr:txBody>
        <a:bodyPr wrap="none" lIns="0" tIns="0" rIns="0" bIns="0" anchor="t" rtlCol="0" vertOverflow="overflow" horzOverflow="overflow">
          <a:noAutofit/>
        </a:bodyPr>
        <a:lstStyle/>
        <a:p>
          <a:pPr algn="l"/>
          <a:r>
            <a:rPr lang="en-US" sz="850" dirty="0">
              <a:solidFill>
                <a:srgbClr val="8F8D86"/>
              </a:solidFill>
              <a:latin typeface="Calibri"/>
              <a:cs typeface="Calibri"/>
            </a:rPr>
            <a:t>Every note is a row in the table to the left: what it is in B, the note in C, where it came from in D, its date in E, what it is about in F. Drag a dot and its lines follow. 5 more notes are only in the table.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brainmap1.xml"/></Relationships>
</file>

<file path=xl/worksheets/sheet1.xml><?xml version="1.0" encoding="utf-8"?>
<worksheet xmlns="http://schemas.openxmlformats.org/spreadsheetml/2006/main" xmlns:r="http://schemas.openxmlformats.org/officeDocument/2006/relationships">
  <dimension ref="A1:AK32"/>
  <sheetViews>
    <sheetView workbookViewId="0"/>
  </sheetViews>
  <sheetFormatPr defaultRowHeight="15"/>
  <cols>
    <col min="1" max="1" width="30.7109375" customWidth="1"/>
    <col min="2" max="2" width="12.7109375" customWidth="1"/>
    <col min="3" max="3" width="34.7109375" customWidth="1"/>
  </cols>
  <sheetData>
    <row r="1" spans="1:3">
      <c r="A1" s="1" t="s">
        <v>0</v>
      </c>
    </row>
    <row r="2" spans="1:3">
      <c r="A2" s="2" t="s">
        <v>1</v>
      </c>
    </row>
    <row r="3" spans="1:3">
      <c r="A3" t="s">
        <v>5</v>
      </c>
      <c r="B3" s="3">
        <v>185000</v>
      </c>
      <c r="C3" s="2" t="s">
        <v>6</v>
      </c>
    </row>
    <row r="4" spans="1:3">
      <c r="A4" t="s">
        <v>7</v>
      </c>
      <c r="B4" s="4">
        <v>0.04</v>
      </c>
    </row>
    <row r="5" spans="1:3">
      <c r="A5" t="s">
        <v>8</v>
      </c>
      <c r="B5" s="4">
        <v>0.015</v>
      </c>
      <c r="C5" s="2" t="s">
        <v>9</v>
      </c>
    </row>
    <row r="6" spans="1:3">
      <c r="A6" t="s">
        <v>10</v>
      </c>
      <c r="B6" s="3">
        <v>650</v>
      </c>
      <c r="C6" s="2" t="s">
        <v>11</v>
      </c>
    </row>
    <row r="7" spans="1:3">
      <c r="A7" t="s">
        <v>12</v>
      </c>
      <c r="B7" s="3">
        <v>5200</v>
      </c>
      <c r="C7" s="2" t="s">
        <v>13</v>
      </c>
    </row>
    <row r="8" spans="1:3">
      <c r="A8" t="s">
        <v>14</v>
      </c>
      <c r="B8" s="4">
        <v>0.22</v>
      </c>
    </row>
    <row r="9" spans="1:3">
      <c r="A9" t="s">
        <v>15</v>
      </c>
      <c r="B9" s="3">
        <v>38000</v>
      </c>
      <c r="C9" s="2" t="s">
        <v>13</v>
      </c>
    </row>
    <row r="10" spans="1:3">
      <c r="A10" t="s">
        <v>16</v>
      </c>
      <c r="B10" s="3">
        <v>9000</v>
      </c>
      <c r="C10" s="2" t="s">
        <v>13</v>
      </c>
    </row>
    <row r="11" spans="1:3">
      <c r="A11" t="s">
        <v>17</v>
      </c>
      <c r="B11" s="3">
        <v>12000</v>
      </c>
      <c r="C11" s="2" t="s">
        <v>13</v>
      </c>
    </row>
    <row r="12" spans="1:3">
      <c r="A12" t="s">
        <v>18</v>
      </c>
      <c r="B12" s="4">
        <v>0.21</v>
      </c>
    </row>
    <row r="13" spans="1:3">
      <c r="A13" t="s">
        <v>19</v>
      </c>
      <c r="B13" s="3">
        <v>1</v>
      </c>
      <c r="C13" s="2" t="s">
        <v>20</v>
      </c>
    </row>
    <row r="14" spans="1:3">
      <c r="A14" t="s">
        <v>21</v>
      </c>
      <c r="B14" s="4">
        <v>0.5</v>
      </c>
    </row>
    <row r="16" spans="1:3">
      <c r="A16" s="5" t="s">
        <v>2</v>
      </c>
    </row>
    <row r="17" spans="1:37">
      <c r="A17" t="s">
        <v>22</v>
      </c>
      <c r="B17" s="3">
        <v>6200000</v>
      </c>
      <c r="C17" s="2" t="s">
        <v>23</v>
      </c>
    </row>
    <row r="18" spans="1:37">
      <c r="A18" t="s">
        <v>24</v>
      </c>
      <c r="B18" s="3">
        <v>181500</v>
      </c>
    </row>
    <row r="19" spans="1:37">
      <c r="A19" t="s">
        <v>25</v>
      </c>
      <c r="B19" s="3">
        <v>310000</v>
      </c>
    </row>
    <row r="20" spans="1:37">
      <c r="A20" t="s">
        <v>26</v>
      </c>
      <c r="B20" s="3">
        <v>98000</v>
      </c>
    </row>
    <row r="21" spans="1:37">
      <c r="A21" t="s">
        <v>27</v>
      </c>
      <c r="B21" s="3">
        <v>9500000</v>
      </c>
    </row>
    <row r="22" spans="1:37">
      <c r="A22" t="s">
        <v>28</v>
      </c>
      <c r="B22" s="3">
        <f>B17+B18+B19-B20-B21</f>
        <v>-2906500</v>
      </c>
      <c r="C22" s="2" t="s">
        <v>29</v>
      </c>
    </row>
    <row r="24" spans="1:37">
      <c r="A24" s="5" t="s">
        <v>3</v>
      </c>
    </row>
    <row r="25" spans="1:37">
      <c r="A25" t="s">
        <v>30</v>
      </c>
      <c r="B25" s="3">
        <v>13750</v>
      </c>
      <c r="C25" s="2" t="s">
        <v>31</v>
      </c>
    </row>
    <row r="26" spans="1:37">
      <c r="A26" t="s">
        <v>32</v>
      </c>
      <c r="B26" s="3">
        <v>10000</v>
      </c>
      <c r="C26" s="2" t="s">
        <v>31</v>
      </c>
    </row>
    <row r="27" spans="1:37">
      <c r="A27" t="s">
        <v>33</v>
      </c>
      <c r="B27" s="3">
        <v>9200</v>
      </c>
      <c r="C27" s="2" t="s">
        <v>31</v>
      </c>
    </row>
    <row r="29" spans="1:37">
      <c r="A29" s="5" t="s">
        <v>4</v>
      </c>
      <c r="B29" s="6">
        <v>46023</v>
      </c>
      <c r="C29" s="6">
        <v>46054</v>
      </c>
      <c r="D29" s="6">
        <v>46082</v>
      </c>
      <c r="E29" s="6">
        <v>46113</v>
      </c>
      <c r="F29" s="6">
        <v>46143</v>
      </c>
      <c r="G29" s="6">
        <v>46174</v>
      </c>
      <c r="H29" s="6">
        <v>46204</v>
      </c>
      <c r="I29" s="6">
        <v>46235</v>
      </c>
      <c r="J29" s="6">
        <v>46266</v>
      </c>
      <c r="K29" s="6">
        <v>46296</v>
      </c>
      <c r="L29" s="6">
        <v>46327</v>
      </c>
      <c r="M29" s="6">
        <v>46357</v>
      </c>
      <c r="N29" s="6">
        <v>46388</v>
      </c>
      <c r="O29" s="6">
        <v>46419</v>
      </c>
      <c r="P29" s="6">
        <v>46447</v>
      </c>
      <c r="Q29" s="6">
        <v>46478</v>
      </c>
      <c r="R29" s="6">
        <v>46508</v>
      </c>
      <c r="S29" s="6">
        <v>46539</v>
      </c>
      <c r="T29" s="6">
        <v>46569</v>
      </c>
      <c r="U29" s="6">
        <v>46600</v>
      </c>
      <c r="V29" s="6">
        <v>46631</v>
      </c>
      <c r="W29" s="6">
        <v>46661</v>
      </c>
      <c r="X29" s="6">
        <v>46692</v>
      </c>
      <c r="Y29" s="6">
        <v>46722</v>
      </c>
      <c r="Z29" s="6">
        <v>46753</v>
      </c>
      <c r="AA29" s="6">
        <v>46784</v>
      </c>
      <c r="AB29" s="6">
        <v>46813</v>
      </c>
      <c r="AC29" s="6">
        <v>46844</v>
      </c>
      <c r="AD29" s="6">
        <v>46874</v>
      </c>
      <c r="AE29" s="6">
        <v>46905</v>
      </c>
      <c r="AF29" s="6">
        <v>46935</v>
      </c>
      <c r="AG29" s="6">
        <v>46966</v>
      </c>
      <c r="AH29" s="6">
        <v>46997</v>
      </c>
      <c r="AI29" s="6">
        <v>47027</v>
      </c>
      <c r="AJ29" s="6">
        <v>47058</v>
      </c>
      <c r="AK29" s="6">
        <v>47088</v>
      </c>
    </row>
    <row r="30" spans="1:37">
      <c r="A30" t="s">
        <v>30</v>
      </c>
      <c r="B30" s="7">
        <v>18</v>
      </c>
      <c r="C30" s="7">
        <v>18</v>
      </c>
      <c r="D30" s="7">
        <v>19</v>
      </c>
      <c r="E30" s="7">
        <v>19</v>
      </c>
      <c r="F30" s="7">
        <v>20</v>
      </c>
      <c r="G30" s="7">
        <v>20</v>
      </c>
      <c r="H30" s="7">
        <v>21</v>
      </c>
      <c r="I30" s="7">
        <v>21</v>
      </c>
      <c r="J30" s="7">
        <v>22</v>
      </c>
      <c r="K30" s="7">
        <v>22</v>
      </c>
      <c r="L30" s="7">
        <v>23</v>
      </c>
      <c r="M30" s="7">
        <v>23</v>
      </c>
      <c r="N30" s="7">
        <v>23</v>
      </c>
      <c r="O30" s="7">
        <v>24</v>
      </c>
      <c r="P30" s="7">
        <v>24</v>
      </c>
      <c r="Q30" s="7">
        <v>25</v>
      </c>
      <c r="R30" s="7">
        <v>25</v>
      </c>
      <c r="S30" s="7">
        <v>26</v>
      </c>
      <c r="T30" s="7">
        <v>26</v>
      </c>
      <c r="U30" s="7">
        <v>27</v>
      </c>
      <c r="V30" s="7">
        <v>27</v>
      </c>
      <c r="W30" s="7">
        <v>28</v>
      </c>
      <c r="X30" s="7">
        <v>28</v>
      </c>
      <c r="Y30" s="7">
        <v>29</v>
      </c>
      <c r="Z30" s="7">
        <v>29</v>
      </c>
      <c r="AA30" s="7">
        <v>29</v>
      </c>
      <c r="AB30" s="7">
        <v>30</v>
      </c>
      <c r="AC30" s="7">
        <v>30</v>
      </c>
      <c r="AD30" s="7">
        <v>31</v>
      </c>
      <c r="AE30" s="7">
        <v>31</v>
      </c>
      <c r="AF30" s="7">
        <v>32</v>
      </c>
      <c r="AG30" s="7">
        <v>32</v>
      </c>
      <c r="AH30" s="7">
        <v>33</v>
      </c>
      <c r="AI30" s="7">
        <v>33</v>
      </c>
      <c r="AJ30" s="7">
        <v>34</v>
      </c>
      <c r="AK30" s="7">
        <v>34</v>
      </c>
    </row>
    <row r="31" spans="1:37">
      <c r="A31" t="s">
        <v>32</v>
      </c>
      <c r="B31" s="7">
        <v>8</v>
      </c>
      <c r="C31" s="7">
        <v>8</v>
      </c>
      <c r="D31" s="7">
        <v>9</v>
      </c>
      <c r="E31" s="7">
        <v>9</v>
      </c>
      <c r="F31" s="7">
        <v>9</v>
      </c>
      <c r="G31" s="7">
        <v>10</v>
      </c>
      <c r="H31" s="7">
        <v>10</v>
      </c>
      <c r="I31" s="7">
        <v>10</v>
      </c>
      <c r="J31" s="7">
        <v>11</v>
      </c>
      <c r="K31" s="7">
        <v>11</v>
      </c>
      <c r="L31" s="7">
        <v>11</v>
      </c>
      <c r="M31" s="7">
        <v>12</v>
      </c>
      <c r="N31" s="7">
        <v>12</v>
      </c>
      <c r="O31" s="7">
        <v>12</v>
      </c>
      <c r="P31" s="7">
        <v>13</v>
      </c>
      <c r="Q31" s="7">
        <v>13</v>
      </c>
      <c r="R31" s="7">
        <v>13</v>
      </c>
      <c r="S31" s="7">
        <v>14</v>
      </c>
      <c r="T31" s="7">
        <v>14</v>
      </c>
      <c r="U31" s="7">
        <v>15</v>
      </c>
      <c r="V31" s="7">
        <v>15</v>
      </c>
      <c r="W31" s="7">
        <v>15</v>
      </c>
      <c r="X31" s="7">
        <v>16</v>
      </c>
      <c r="Y31" s="7">
        <v>16</v>
      </c>
      <c r="Z31" s="7">
        <v>16</v>
      </c>
      <c r="AA31" s="7">
        <v>17</v>
      </c>
      <c r="AB31" s="7">
        <v>17</v>
      </c>
      <c r="AC31" s="7">
        <v>17</v>
      </c>
      <c r="AD31" s="7">
        <v>18</v>
      </c>
      <c r="AE31" s="7">
        <v>18</v>
      </c>
      <c r="AF31" s="7">
        <v>18</v>
      </c>
      <c r="AG31" s="7">
        <v>19</v>
      </c>
      <c r="AH31" s="7">
        <v>19</v>
      </c>
      <c r="AI31" s="7">
        <v>19</v>
      </c>
      <c r="AJ31" s="7">
        <v>20</v>
      </c>
      <c r="AK31" s="7">
        <v>20</v>
      </c>
    </row>
    <row r="32" spans="1:37">
      <c r="A32" t="s">
        <v>33</v>
      </c>
      <c r="B32" s="7">
        <v>5</v>
      </c>
      <c r="C32" s="7">
        <v>5</v>
      </c>
      <c r="D32" s="7">
        <v>5</v>
      </c>
      <c r="E32" s="7">
        <v>5</v>
      </c>
      <c r="F32" s="7">
        <v>5</v>
      </c>
      <c r="G32" s="7">
        <v>6</v>
      </c>
      <c r="H32" s="7">
        <v>6</v>
      </c>
      <c r="I32" s="7">
        <v>6</v>
      </c>
      <c r="J32" s="7">
        <v>6</v>
      </c>
      <c r="K32" s="7">
        <v>6</v>
      </c>
      <c r="L32" s="7">
        <v>6</v>
      </c>
      <c r="M32" s="7">
        <v>6</v>
      </c>
      <c r="N32" s="7">
        <v>6</v>
      </c>
      <c r="O32" s="7">
        <v>6</v>
      </c>
      <c r="P32" s="7">
        <v>7</v>
      </c>
      <c r="Q32" s="7">
        <v>7</v>
      </c>
      <c r="R32" s="7">
        <v>7</v>
      </c>
      <c r="S32" s="7">
        <v>7</v>
      </c>
      <c r="T32" s="7">
        <v>7</v>
      </c>
      <c r="U32" s="7">
        <v>7</v>
      </c>
      <c r="V32" s="7">
        <v>7</v>
      </c>
      <c r="W32" s="7">
        <v>7</v>
      </c>
      <c r="X32" s="7">
        <v>8</v>
      </c>
      <c r="Y32" s="7">
        <v>8</v>
      </c>
      <c r="Z32" s="7">
        <v>8</v>
      </c>
      <c r="AA32" s="7">
        <v>8</v>
      </c>
      <c r="AB32" s="7">
        <v>8</v>
      </c>
      <c r="AC32" s="7">
        <v>8</v>
      </c>
      <c r="AD32" s="7">
        <v>8</v>
      </c>
      <c r="AE32" s="7">
        <v>8</v>
      </c>
      <c r="AF32" s="7">
        <v>8</v>
      </c>
      <c r="AG32" s="7">
        <v>9</v>
      </c>
      <c r="AH32" s="7">
        <v>9</v>
      </c>
      <c r="AI32" s="7">
        <v>9</v>
      </c>
      <c r="AJ32" s="7">
        <v>9</v>
      </c>
      <c r="AK32" s="7">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K8"/>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6.7109375" customWidth="1"/>
    <col min="2" max="37" width="12.7109375" customWidth="1"/>
  </cols>
  <sheetData>
    <row r="1" spans="1:37">
      <c r="A1" s="1" t="s">
        <v>34</v>
      </c>
    </row>
    <row r="2" spans="1:37">
      <c r="A2" s="6" t="s">
        <v>35</v>
      </c>
      <c r="B2" s="6">
        <v>46023</v>
      </c>
      <c r="C2" s="6">
        <v>46054</v>
      </c>
      <c r="D2" s="6">
        <v>46082</v>
      </c>
      <c r="E2" s="6">
        <v>46113</v>
      </c>
      <c r="F2" s="6">
        <v>46143</v>
      </c>
      <c r="G2" s="6">
        <v>46174</v>
      </c>
      <c r="H2" s="6">
        <v>46204</v>
      </c>
      <c r="I2" s="6">
        <v>46235</v>
      </c>
      <c r="J2" s="6">
        <v>46266</v>
      </c>
      <c r="K2" s="6">
        <v>46296</v>
      </c>
      <c r="L2" s="6">
        <v>46327</v>
      </c>
      <c r="M2" s="6">
        <v>46357</v>
      </c>
      <c r="N2" s="6">
        <v>46388</v>
      </c>
      <c r="O2" s="6">
        <v>46419</v>
      </c>
      <c r="P2" s="6">
        <v>46447</v>
      </c>
      <c r="Q2" s="6">
        <v>46478</v>
      </c>
      <c r="R2" s="6">
        <v>46508</v>
      </c>
      <c r="S2" s="6">
        <v>46539</v>
      </c>
      <c r="T2" s="6">
        <v>46569</v>
      </c>
      <c r="U2" s="6">
        <v>46600</v>
      </c>
      <c r="V2" s="6">
        <v>46631</v>
      </c>
      <c r="W2" s="6">
        <v>46661</v>
      </c>
      <c r="X2" s="6">
        <v>46692</v>
      </c>
      <c r="Y2" s="6">
        <v>46722</v>
      </c>
      <c r="Z2" s="6">
        <v>46753</v>
      </c>
      <c r="AA2" s="6">
        <v>46784</v>
      </c>
      <c r="AB2" s="6">
        <v>46813</v>
      </c>
      <c r="AC2" s="6">
        <v>46844</v>
      </c>
      <c r="AD2" s="6">
        <v>46874</v>
      </c>
      <c r="AE2" s="6">
        <v>46905</v>
      </c>
      <c r="AF2" s="6">
        <v>46935</v>
      </c>
      <c r="AG2" s="6">
        <v>46966</v>
      </c>
      <c r="AH2" s="6">
        <v>46997</v>
      </c>
      <c r="AI2" s="6">
        <v>47027</v>
      </c>
      <c r="AJ2" s="6">
        <v>47058</v>
      </c>
      <c r="AK2" s="6">
        <v>47088</v>
      </c>
    </row>
    <row r="4" spans="1:37">
      <c r="A4" t="s">
        <v>36</v>
      </c>
      <c r="B4" s="3">
        <v>185000</v>
      </c>
      <c r="C4" s="3">
        <v>188399</v>
      </c>
      <c r="D4" s="3">
        <v>194039</v>
      </c>
      <c r="E4" s="3">
        <v>199404</v>
      </c>
      <c r="F4" s="3">
        <v>202957</v>
      </c>
      <c r="G4" s="3">
        <v>209464</v>
      </c>
      <c r="H4" s="3">
        <v>216022</v>
      </c>
      <c r="I4" s="3">
        <v>220699</v>
      </c>
      <c r="J4" s="3">
        <f>I7</f>
        <v>226872</v>
      </c>
      <c r="K4" s="3">
        <f>J7</f>
        <v>232543.80000000002</v>
      </c>
      <c r="L4" s="3">
        <f>K7</f>
        <v>238357.39500000002</v>
      </c>
      <c r="M4" s="3">
        <f>L7</f>
        <v>244316.32987500002</v>
      </c>
      <c r="N4" s="3">
        <f>M7</f>
        <v>250424.238121875</v>
      </c>
      <c r="O4" s="3">
        <f>N7</f>
        <v>256684.8440749219</v>
      </c>
      <c r="P4" s="3">
        <f>O7</f>
        <v>263101.9651767949</v>
      </c>
      <c r="Q4" s="3">
        <f>P7</f>
        <v>269679.51430621475</v>
      </c>
      <c r="R4" s="3">
        <f>Q7</f>
        <v>276421.50216387014</v>
      </c>
      <c r="S4" s="3">
        <f>R7</f>
        <v>283332.03971796687</v>
      </c>
      <c r="T4" s="3">
        <f>S7</f>
        <v>290415.3407109161</v>
      </c>
      <c r="U4" s="3">
        <f>T7</f>
        <v>297675.724228689</v>
      </c>
      <c r="V4" s="3">
        <f>U7</f>
        <v>305117.6173344062</v>
      </c>
      <c r="W4" s="3">
        <f>V7</f>
        <v>312745.55776776635</v>
      </c>
      <c r="X4" s="3">
        <f>W7</f>
        <v>320564.19671196054</v>
      </c>
      <c r="Y4" s="3">
        <f>X7</f>
        <v>320564.19671196054</v>
      </c>
      <c r="Z4" s="3">
        <f>Y7</f>
        <v>328578.30162975955</v>
      </c>
      <c r="AA4" s="3">
        <f>Z7</f>
        <v>336792.7591705036</v>
      </c>
      <c r="AB4" s="3">
        <f>AA7</f>
        <v>345212.5781497662</v>
      </c>
      <c r="AC4" s="3">
        <f>AB7</f>
        <v>353842.89260351035</v>
      </c>
      <c r="AD4" s="3">
        <f>AC7</f>
        <v>362688.9649185981</v>
      </c>
      <c r="AE4" s="3">
        <f>AD7</f>
        <v>371756.1890415631</v>
      </c>
      <c r="AF4" s="3">
        <f>AE7</f>
        <v>381050.0937676022</v>
      </c>
      <c r="AG4" s="3">
        <f>AF7</f>
        <v>390576.34611179226</v>
      </c>
      <c r="AH4" s="3">
        <f>AG7</f>
        <v>400340.7547645871</v>
      </c>
      <c r="AI4" s="3">
        <f>AH7</f>
        <v>410349.2736337018</v>
      </c>
      <c r="AJ4" s="3">
        <f>AI7</f>
        <v>420608.00547454436</v>
      </c>
      <c r="AK4" s="3">
        <f>AJ7</f>
        <v>431123.205611408</v>
      </c>
    </row>
    <row r="5" spans="1:37">
      <c r="A5" t="s">
        <v>37</v>
      </c>
      <c r="B5" s="3">
        <v>6457</v>
      </c>
      <c r="C5" s="3">
        <v>8388</v>
      </c>
      <c r="D5" s="3">
        <v>8018</v>
      </c>
      <c r="E5" s="3">
        <v>7108</v>
      </c>
      <c r="F5" s="3">
        <v>8771</v>
      </c>
      <c r="G5" s="3">
        <v>9096</v>
      </c>
      <c r="H5" s="3">
        <v>7370</v>
      </c>
      <c r="I5" s="3">
        <v>8874</v>
      </c>
      <c r="J5" s="3">
        <f>J4*Inputs!$B$4</f>
        <v>9074.880000000001</v>
      </c>
      <c r="K5" s="3">
        <f>K4*Inputs!$B$4</f>
        <v>9301.752</v>
      </c>
      <c r="L5" s="3">
        <f>L4*Inputs!$B$4</f>
        <v>9534.295800000002</v>
      </c>
      <c r="M5" s="3">
        <f>M4*Inputs!$B$4</f>
        <v>9772.653195</v>
      </c>
      <c r="N5" s="3">
        <f>N4*Inputs!$B$4</f>
        <v>10016.969524875001</v>
      </c>
      <c r="O5" s="3">
        <f>O4*Inputs!$B$4</f>
        <v>10267.393762996875</v>
      </c>
      <c r="P5" s="3">
        <f>P4*Inputs!$B$4</f>
        <v>10524.078607071797</v>
      </c>
      <c r="Q5" s="3">
        <f>Q4*Inputs!$B$4</f>
        <v>10787.18057224859</v>
      </c>
      <c r="R5" s="3">
        <f>R4*Inputs!$B$4</f>
        <v>11056.860086554805</v>
      </c>
      <c r="S5" s="3">
        <f>S4*Inputs!$B$4</f>
        <v>11333.281588718675</v>
      </c>
      <c r="T5" s="3">
        <f>T4*Inputs!$B$4</f>
        <v>11616.613628436644</v>
      </c>
      <c r="U5" s="3">
        <f>U4*Inputs!$B$4</f>
        <v>11907.02896914756</v>
      </c>
      <c r="V5" s="3">
        <f>V4*Inputs!$B$4</f>
        <v>12204.704693376247</v>
      </c>
      <c r="W5" s="3">
        <f>W4*Inputs!$B$4</f>
        <v>12509.822310710655</v>
      </c>
      <c r="X5" s="3">
        <f>X4*Inputs!$B$5</f>
        <v>4808.462950679408</v>
      </c>
      <c r="Y5" s="3">
        <f>Y4*Inputs!$B$4</f>
        <v>12822.567868478422</v>
      </c>
      <c r="Z5" s="3">
        <f>Z4*Inputs!$B$4</f>
        <v>13143.132065190382</v>
      </c>
      <c r="AA5" s="3">
        <f>AA4*Inputs!$B$4</f>
        <v>13471.710366820143</v>
      </c>
      <c r="AB5" s="3">
        <f>AB4*Inputs!$B$4</f>
        <v>13808.503125990648</v>
      </c>
      <c r="AC5" s="3">
        <f>AC4*Inputs!$B$4</f>
        <v>14153.715704140413</v>
      </c>
      <c r="AD5" s="3">
        <f>AD4*Inputs!$B$4</f>
        <v>14507.558596743926</v>
      </c>
      <c r="AE5" s="3">
        <f>AE4*Inputs!$B$4</f>
        <v>14870.247561662523</v>
      </c>
      <c r="AF5" s="3">
        <f>AF4*Inputs!$B$4</f>
        <v>15242.003750704087</v>
      </c>
      <c r="AG5" s="3">
        <f>AG4*Inputs!$B$4</f>
        <v>15623.053844471691</v>
      </c>
      <c r="AH5" s="3">
        <f>AH4*Inputs!$B$4</f>
        <v>16013.630190583484</v>
      </c>
      <c r="AI5" s="3">
        <f>AI4*Inputs!$B$4</f>
        <v>16413.970945348072</v>
      </c>
      <c r="AJ5" s="3">
        <f>AJ4*Inputs!$B$4</f>
        <v>16824.320218981775</v>
      </c>
      <c r="AK5" s="3">
        <f>AK4*Inputs!$B$4</f>
        <v>17244.92822445632</v>
      </c>
    </row>
    <row r="6" spans="1:37">
      <c r="A6" t="s">
        <v>38</v>
      </c>
      <c r="B6" s="3">
        <v>3058</v>
      </c>
      <c r="C6" s="3">
        <v>2748</v>
      </c>
      <c r="D6" s="3">
        <v>2653</v>
      </c>
      <c r="E6" s="3">
        <v>3555</v>
      </c>
      <c r="F6" s="3">
        <v>2264</v>
      </c>
      <c r="G6" s="3">
        <v>2538</v>
      </c>
      <c r="H6" s="3">
        <v>2693</v>
      </c>
      <c r="I6" s="3">
        <v>2701</v>
      </c>
      <c r="J6" s="3">
        <f>J4*Inputs!$B$5</f>
        <v>3403.08</v>
      </c>
      <c r="K6" s="3">
        <f>K4*Inputs!$B$5</f>
        <v>3488.157</v>
      </c>
      <c r="L6" s="3">
        <f>L4*Inputs!$B$5</f>
        <v>3575.360925</v>
      </c>
      <c r="M6" s="3">
        <f>M4*Inputs!$B$5</f>
        <v>3664.744948125</v>
      </c>
      <c r="N6" s="3">
        <f>N4*Inputs!$B$5</f>
        <v>3756.363571828125</v>
      </c>
      <c r="O6" s="3">
        <f>O4*Inputs!$B$5</f>
        <v>3850.272661123828</v>
      </c>
      <c r="P6" s="3">
        <f>P4*Inputs!$B$5</f>
        <v>3946.5294776519236</v>
      </c>
      <c r="Q6" s="3">
        <f>Q4*Inputs!$B$5</f>
        <v>4045.1927145932214</v>
      </c>
      <c r="R6" s="3">
        <f>R4*Inputs!$B$5</f>
        <v>4146.322532458052</v>
      </c>
      <c r="S6" s="3">
        <f>S4*Inputs!$B$5</f>
        <v>4249.9805957695025</v>
      </c>
      <c r="T6" s="3">
        <f>T4*Inputs!$B$5</f>
        <v>4356.2301106637415</v>
      </c>
      <c r="U6" s="3">
        <f>U4*Inputs!$B$5</f>
        <v>4465.135863430334</v>
      </c>
      <c r="V6" s="3">
        <f>V4*Inputs!$B$5</f>
        <v>4576.7642600160925</v>
      </c>
      <c r="W6" s="3">
        <f>W4*Inputs!$B$5</f>
        <v>4691.183366516495</v>
      </c>
      <c r="X6" s="3">
        <f>X4*Inputs!$B$5</f>
        <v>4808.462950679408</v>
      </c>
      <c r="Y6" s="3">
        <f>Y4*Inputs!$B$5</f>
        <v>4808.462950679408</v>
      </c>
      <c r="Z6" s="3">
        <f>Z4*Inputs!$B$5</f>
        <v>4928.674524446393</v>
      </c>
      <c r="AA6" s="3">
        <f>AA4*Inputs!$B$5</f>
        <v>5051.891387557554</v>
      </c>
      <c r="AB6" s="3">
        <f>AB4*Inputs!$B$5</f>
        <v>5178.188672246492</v>
      </c>
      <c r="AC6" s="3">
        <f>AC4*Inputs!$B$5</f>
        <v>5307.643389052655</v>
      </c>
      <c r="AD6" s="3">
        <f>AD4*Inputs!$B$5</f>
        <v>5440.334473778972</v>
      </c>
      <c r="AE6" s="3">
        <f>AE4*Inputs!$B$5</f>
        <v>5576.342835623446</v>
      </c>
      <c r="AF6" s="3">
        <f>AF4*Inputs!$B$5</f>
        <v>5715.751406514032</v>
      </c>
      <c r="AG6" s="3">
        <f>AG4*Inputs!$B$5</f>
        <v>5858.645191676884</v>
      </c>
      <c r="AH6" s="3">
        <f>AH4*Inputs!$B$5</f>
        <v>6005.111321468807</v>
      </c>
      <c r="AI6" s="3">
        <f>AI4*Inputs!$B$5</f>
        <v>6155.2391045055265</v>
      </c>
      <c r="AJ6" s="3">
        <f>AJ4*Inputs!$B$5</f>
        <v>6309.120082118166</v>
      </c>
      <c r="AK6" s="3">
        <f>AK4*Inputs!$B$5</f>
        <v>6466.84808417112</v>
      </c>
    </row>
    <row r="7" spans="1:37">
      <c r="A7" t="s">
        <v>39</v>
      </c>
      <c r="B7" s="8">
        <f>B4+B5-B6</f>
        <v>188399</v>
      </c>
      <c r="C7" s="8">
        <f>C4+C5-C6</f>
        <v>194039</v>
      </c>
      <c r="D7" s="8">
        <f>D4+D5-D6</f>
        <v>199404</v>
      </c>
      <c r="E7" s="8">
        <f>E4+E5-E6</f>
        <v>202957</v>
      </c>
      <c r="F7" s="8">
        <f>F4+F5-F6</f>
        <v>209464</v>
      </c>
      <c r="G7" s="8">
        <f>G4+G5-G6</f>
        <v>216022</v>
      </c>
      <c r="H7" s="8">
        <f>H4+H5-H6</f>
        <v>220699</v>
      </c>
      <c r="I7" s="8">
        <f>I4+I5-I6</f>
        <v>226872</v>
      </c>
      <c r="J7" s="8">
        <f>J4+J5-J6</f>
        <v>232543.80000000002</v>
      </c>
      <c r="K7" s="8">
        <f>K4+K5-K6</f>
        <v>238357.39500000002</v>
      </c>
      <c r="L7" s="8">
        <f>L4+L5-L6</f>
        <v>244316.32987500002</v>
      </c>
      <c r="M7" s="8">
        <f>M4+M5-M6</f>
        <v>250424.238121875</v>
      </c>
      <c r="N7" s="8">
        <f>N4+N5-N6</f>
        <v>256684.8440749219</v>
      </c>
      <c r="O7" s="8">
        <f>O4+O5-O6</f>
        <v>263101.9651767949</v>
      </c>
      <c r="P7" s="8">
        <f>P4+P5-P6</f>
        <v>269679.51430621475</v>
      </c>
      <c r="Q7" s="8">
        <f>Q4+Q5-Q6</f>
        <v>276421.50216387014</v>
      </c>
      <c r="R7" s="8">
        <f>R4+R5-R6</f>
        <v>283332.03971796687</v>
      </c>
      <c r="S7" s="8">
        <f>S4+S5-S6</f>
        <v>290415.3407109161</v>
      </c>
      <c r="T7" s="8">
        <f>T4+T5-T6</f>
        <v>297675.724228689</v>
      </c>
      <c r="U7" s="8">
        <f>U4+U5-U6</f>
        <v>305117.6173344062</v>
      </c>
      <c r="V7" s="8">
        <f>V4+V5-V6</f>
        <v>312745.55776776635</v>
      </c>
      <c r="W7" s="8">
        <f>W4+W5-W6</f>
        <v>320564.19671196054</v>
      </c>
      <c r="X7" s="8">
        <f>X4+X5-X6</f>
        <v>320564.19671196054</v>
      </c>
      <c r="Y7" s="8">
        <f>Y4+Y5-Y6</f>
        <v>328578.30162975955</v>
      </c>
      <c r="Z7" s="8">
        <f>Z4+Z5-Z6</f>
        <v>336792.7591705036</v>
      </c>
      <c r="AA7" s="8">
        <f>AA4+AA5-AA6</f>
        <v>345212.5781497662</v>
      </c>
      <c r="AB7" s="8">
        <f>AB4+AB5-AB6</f>
        <v>353842.89260351035</v>
      </c>
      <c r="AC7" s="8">
        <f>AC4+AC5-AC6</f>
        <v>362688.9649185981</v>
      </c>
      <c r="AD7" s="8">
        <f>AD4+AD5-AD6</f>
        <v>371756.1890415631</v>
      </c>
      <c r="AE7" s="8">
        <f>AE4+AE5-AE6</f>
        <v>381050.0937676022</v>
      </c>
      <c r="AF7" s="8">
        <f>AF4+AF5-AF6</f>
        <v>390576.34611179226</v>
      </c>
      <c r="AG7" s="8">
        <f>AG4+AG5-AG6</f>
        <v>400340.7547645871</v>
      </c>
      <c r="AH7" s="8">
        <f>AH4+AH5-AH6</f>
        <v>410349.2736337018</v>
      </c>
      <c r="AI7" s="8">
        <f>AI4+AI5-AI6</f>
        <v>420608.00547454436</v>
      </c>
      <c r="AJ7" s="8">
        <f>AJ4+AJ5-AJ6</f>
        <v>431123.205611408</v>
      </c>
      <c r="AK7" s="8">
        <f>AK4+AK5-AK6</f>
        <v>441901.2857516932</v>
      </c>
    </row>
    <row r="8" spans="1:37">
      <c r="A8" t="s">
        <v>40</v>
      </c>
      <c r="B8" s="3">
        <v>10</v>
      </c>
      <c r="C8" s="3">
        <v>13</v>
      </c>
      <c r="D8" s="3">
        <v>12</v>
      </c>
      <c r="E8" s="3">
        <v>11</v>
      </c>
      <c r="F8" s="3">
        <v>13</v>
      </c>
      <c r="G8" s="3">
        <v>14</v>
      </c>
      <c r="H8" s="3">
        <v>11</v>
      </c>
      <c r="I8" s="3">
        <v>14</v>
      </c>
      <c r="J8" s="3">
        <f>J5/Inputs!$B$6</f>
        <v>13.961353846153848</v>
      </c>
      <c r="K8" s="3">
        <f>K5/Inputs!$B$6</f>
        <v>14.310387692307692</v>
      </c>
      <c r="L8" s="3">
        <f>L5/Inputs!$B$6</f>
        <v>14.668147384615388</v>
      </c>
      <c r="M8" s="3">
        <f>M5/Inputs!$B$6</f>
        <v>15.03485106923077</v>
      </c>
      <c r="N8" s="3">
        <f>N5/Inputs!$B$6</f>
        <v>15.41072234596154</v>
      </c>
      <c r="O8" s="3">
        <f>O5/Inputs!$B$6</f>
        <v>15.795990404610578</v>
      </c>
      <c r="P8" s="3">
        <f>P5/Inputs!$B$6</f>
        <v>16.19089016472584</v>
      </c>
      <c r="Q8" s="3">
        <f>Q5/Inputs!$B$6</f>
        <v>16.595662418843983</v>
      </c>
      <c r="R8" s="3">
        <f>R5/Inputs!$B$6</f>
        <v>17.010553979315084</v>
      </c>
      <c r="S8" s="3">
        <f>S5/Inputs!$B$6</f>
        <v>17.435817828797962</v>
      </c>
      <c r="T8" s="3">
        <f>T5/Inputs!$B$6</f>
        <v>17.871713274517912</v>
      </c>
      <c r="U8" s="3">
        <f>U5/Inputs!$B$6</f>
        <v>18.31850610638086</v>
      </c>
      <c r="V8" s="3">
        <f>V5/Inputs!$B$6</f>
        <v>18.77646875904038</v>
      </c>
      <c r="W8" s="3">
        <f>W5/Inputs!$B$6</f>
        <v>19.245880478016392</v>
      </c>
      <c r="X8" s="3">
        <f>X5/Inputs!$B$6</f>
        <v>7.397635308737551</v>
      </c>
      <c r="Y8" s="3">
        <f>Y5/Inputs!$B$6</f>
        <v>19.7270274899668</v>
      </c>
      <c r="Z8" s="3">
        <f>Z5/Inputs!$B$6</f>
        <v>20.22020317721597</v>
      </c>
      <c r="AA8" s="3">
        <f>AA5/Inputs!$B$6</f>
        <v>20.725708256646374</v>
      </c>
      <c r="AB8" s="3">
        <f>AB5/Inputs!$B$6</f>
        <v>21.243850963062535</v>
      </c>
      <c r="AC8" s="3">
        <f>AC5/Inputs!$B$6</f>
        <v>21.7749472371391</v>
      </c>
      <c r="AD8" s="3">
        <f>AD5/Inputs!$B$6</f>
        <v>22.31932091806758</v>
      </c>
      <c r="AE8" s="3">
        <f>AE5/Inputs!$B$6</f>
        <v>22.877303941019267</v>
      </c>
      <c r="AF8" s="3">
        <f>AF5/Inputs!$B$6</f>
        <v>23.44923653954475</v>
      </c>
      <c r="AG8" s="3">
        <f>AG5/Inputs!$B$6</f>
        <v>24.03546745303337</v>
      </c>
      <c r="AH8" s="3">
        <f>AH5/Inputs!$B$6</f>
        <v>24.636354139359206</v>
      </c>
      <c r="AI8" s="3">
        <f>AI5/Inputs!$B$6</f>
        <v>25.25226299284319</v>
      </c>
      <c r="AJ8" s="3">
        <f>AJ5/Inputs!$B$6</f>
        <v>25.883569567664267</v>
      </c>
      <c r="AK8" s="3">
        <f>AK5/Inputs!$B$6</f>
        <v>26.530658806855875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K15"/>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6.7109375" customWidth="1"/>
    <col min="2" max="37" width="12.7109375" customWidth="1"/>
  </cols>
  <sheetData>
    <row r="1" spans="1:37">
      <c r="A1" s="1" t="s">
        <v>41</v>
      </c>
    </row>
    <row r="2" spans="1:37">
      <c r="A2" s="6" t="s">
        <v>35</v>
      </c>
      <c r="B2" s="6">
        <v>46023</v>
      </c>
      <c r="C2" s="6">
        <v>46054</v>
      </c>
      <c r="D2" s="6">
        <v>46082</v>
      </c>
      <c r="E2" s="6">
        <v>46113</v>
      </c>
      <c r="F2" s="6">
        <v>46143</v>
      </c>
      <c r="G2" s="6">
        <v>46174</v>
      </c>
      <c r="H2" s="6">
        <v>46204</v>
      </c>
      <c r="I2" s="6">
        <v>46235</v>
      </c>
      <c r="J2" s="6">
        <v>46266</v>
      </c>
      <c r="K2" s="6">
        <v>46296</v>
      </c>
      <c r="L2" s="6">
        <v>46327</v>
      </c>
      <c r="M2" s="6">
        <v>46357</v>
      </c>
      <c r="N2" s="6">
        <v>46388</v>
      </c>
      <c r="O2" s="6">
        <v>46419</v>
      </c>
      <c r="P2" s="6">
        <v>46447</v>
      </c>
      <c r="Q2" s="6">
        <v>46478</v>
      </c>
      <c r="R2" s="6">
        <v>46508</v>
      </c>
      <c r="S2" s="6">
        <v>46539</v>
      </c>
      <c r="T2" s="6">
        <v>46569</v>
      </c>
      <c r="U2" s="6">
        <v>46600</v>
      </c>
      <c r="V2" s="6">
        <v>46631</v>
      </c>
      <c r="W2" s="6">
        <v>46661</v>
      </c>
      <c r="X2" s="6">
        <v>46692</v>
      </c>
      <c r="Y2" s="6">
        <v>46722</v>
      </c>
      <c r="Z2" s="6">
        <v>46753</v>
      </c>
      <c r="AA2" s="6">
        <v>46784</v>
      </c>
      <c r="AB2" s="6">
        <v>46813</v>
      </c>
      <c r="AC2" s="6">
        <v>46844</v>
      </c>
      <c r="AD2" s="6">
        <v>46874</v>
      </c>
      <c r="AE2" s="6">
        <v>46905</v>
      </c>
      <c r="AF2" s="6">
        <v>46935</v>
      </c>
      <c r="AG2" s="6">
        <v>46966</v>
      </c>
      <c r="AH2" s="6">
        <v>46997</v>
      </c>
      <c r="AI2" s="6">
        <v>47027</v>
      </c>
      <c r="AJ2" s="6">
        <v>47058</v>
      </c>
      <c r="AK2" s="6">
        <v>47088</v>
      </c>
    </row>
    <row r="4" spans="1:37">
      <c r="A4" t="s">
        <v>42</v>
      </c>
      <c r="B4" s="3">
        <v>191756</v>
      </c>
      <c r="C4" s="3">
        <v>196164</v>
      </c>
      <c r="D4" s="3">
        <v>198653</v>
      </c>
      <c r="E4" s="3">
        <v>206350</v>
      </c>
      <c r="F4" s="3">
        <v>210722</v>
      </c>
      <c r="G4" s="3">
        <v>218234</v>
      </c>
      <c r="H4" s="3">
        <v>220543</v>
      </c>
      <c r="I4" s="3">
        <v>225613</v>
      </c>
      <c r="J4" s="3">
        <f>Revenue!J7</f>
        <v>232543.80000000002</v>
      </c>
      <c r="K4" s="3">
        <f>Revenue!K7</f>
        <v>238357.39500000002</v>
      </c>
      <c r="L4" s="3">
        <f>Revenue!L7</f>
        <v>244316.32987500002</v>
      </c>
      <c r="M4" s="3">
        <f>Revenue!M7</f>
        <v>250424.238121875</v>
      </c>
      <c r="N4" s="3">
        <f>Revenue!N7*1.07</f>
        <v>274652.7831601664</v>
      </c>
      <c r="O4" s="3">
        <f>Revenue!O7</f>
        <v>263101.9651767949</v>
      </c>
      <c r="P4" s="3">
        <f>Revenue!P7</f>
        <v>269679.51430621475</v>
      </c>
      <c r="Q4" s="3">
        <f>Revenue!Q7</f>
        <v>276421.50216387014</v>
      </c>
      <c r="R4" s="3">
        <f>Revenue!R7</f>
        <v>283332.03971796687</v>
      </c>
      <c r="S4" s="3">
        <f>Revenue!S7</f>
        <v>290415.3407109161</v>
      </c>
      <c r="T4" s="3">
        <f>Revenue!T7</f>
        <v>297675.724228689</v>
      </c>
      <c r="U4" s="3">
        <f>Revenue!U7</f>
        <v>305117.6173344062</v>
      </c>
      <c r="V4" s="3">
        <f>Revenue!V7</f>
        <v>312745.55776776635</v>
      </c>
      <c r="W4" s="3">
        <f>Revenue!W7</f>
        <v>320564.19671196054</v>
      </c>
      <c r="X4" s="3">
        <f>Revenue!X7</f>
        <v>320564.19671196054</v>
      </c>
      <c r="Y4" s="3">
        <f>Revenue!Y7</f>
        <v>328578.30162975955</v>
      </c>
      <c r="Z4" s="3">
        <f>Revenue!Z7</f>
        <v>336792.7591705036</v>
      </c>
      <c r="AA4" s="3">
        <f>Revenue!AA7</f>
        <v>345212.5781497662</v>
      </c>
      <c r="AB4" s="3">
        <f>Revenue!AB7</f>
        <v>353842.89260351035</v>
      </c>
      <c r="AC4" s="3">
        <f>Revenue!AC7</f>
        <v>362688.9649185981</v>
      </c>
      <c r="AD4" s="3">
        <f>Revenue!AD7</f>
        <v>371756.1890415631</v>
      </c>
      <c r="AE4" s="3">
        <f>Revenue!AE7</f>
        <v>381050.0937676022</v>
      </c>
      <c r="AF4" s="3">
        <f>Revenue!AF7</f>
        <v>390576.34611179226</v>
      </c>
      <c r="AG4" s="3">
        <f>Revenue!AG7</f>
        <v>400340.7547645871</v>
      </c>
      <c r="AH4" s="3">
        <f>Revenue!AH7</f>
        <v>410349.2736337018</v>
      </c>
      <c r="AI4" s="3">
        <f>Revenue!AI7</f>
        <v>420608.00547454436</v>
      </c>
      <c r="AJ4" s="3">
        <f>Revenue!AJ7</f>
        <v>431123.205611408</v>
      </c>
      <c r="AK4" s="3">
        <f>Revenue!AK7</f>
        <v>441901.2857516932</v>
      </c>
    </row>
    <row r="5" spans="1:37">
      <c r="A5" t="s">
        <v>43</v>
      </c>
      <c r="B5" s="3">
        <v>45184</v>
      </c>
      <c r="C5" s="3">
        <v>45327</v>
      </c>
      <c r="D5" s="3">
        <v>46649</v>
      </c>
      <c r="E5" s="3">
        <v>47125</v>
      </c>
      <c r="F5" s="3">
        <v>45960</v>
      </c>
      <c r="G5" s="3">
        <v>50431</v>
      </c>
      <c r="H5" s="3">
        <v>49609</v>
      </c>
      <c r="I5" s="3">
        <v>50163</v>
      </c>
      <c r="J5" s="3">
        <f>J4*Inputs!$B$8</f>
        <v>51159.636000000006</v>
      </c>
      <c r="K5" s="3">
        <f>K4*Inputs!$B$8</f>
        <v>52438.6269</v>
      </c>
      <c r="L5" s="3">
        <f>L4*Inputs!$B$8</f>
        <v>53749.592572500005</v>
      </c>
      <c r="M5" s="3">
        <f>M4*Inputs!$B$8</f>
        <v>55093.3323868125</v>
      </c>
      <c r="N5" s="3">
        <f>N4*Inputs!$B$8</f>
        <v>60423.61229523661</v>
      </c>
      <c r="O5" s="3">
        <f>O4*Inputs!$B$8</f>
        <v>57882.43233889488</v>
      </c>
      <c r="P5" s="3">
        <f>P4*Inputs!$B$8</f>
        <v>59329.49314736725</v>
      </c>
      <c r="Q5" s="3">
        <f>Q4*Inputs!$B$8</f>
        <v>60812.73047605143</v>
      </c>
      <c r="R5" s="3">
        <f>R4*Inputs!$B$8</f>
        <v>62333.04873795271</v>
      </c>
      <c r="S5" s="3">
        <f>S4*Inputs!$B$8</f>
        <v>63891.37495640154</v>
      </c>
      <c r="T5" s="3">
        <f>T4*Inputs!$B$8</f>
        <v>65488.65933031157</v>
      </c>
      <c r="U5" s="3">
        <f>U4*Inputs!$B$8</f>
        <v>67125.87581356936</v>
      </c>
      <c r="V5" s="3">
        <f>V4*Inputs!$B$8</f>
        <v>68804.0227089086</v>
      </c>
      <c r="W5" s="3">
        <f>W4*Inputs!$B$8</f>
        <v>70524.12327663132</v>
      </c>
      <c r="X5" s="3">
        <f>X4*Inputs!$B$8</f>
        <v>70524.12327663132</v>
      </c>
      <c r="Y5" s="3">
        <f>Y4*Inputs!$B$8</f>
        <v>72287.2263585471</v>
      </c>
      <c r="Z5" s="3">
        <f>Z4*Inputs!$B$8</f>
        <v>74094.40701751079</v>
      </c>
      <c r="AA5" s="3">
        <f>AA4*Inputs!$B$8</f>
        <v>75946.76719294857</v>
      </c>
      <c r="AB5" s="3">
        <f>AB4*Inputs!$B$8</f>
        <v>77845.43637277228</v>
      </c>
      <c r="AC5" s="3">
        <f>AC4*Inputs!$B$8</f>
        <v>79791.57228209158</v>
      </c>
      <c r="AD5" s="3">
        <f>AD4*Inputs!$B$8</f>
        <v>81786.36158914388</v>
      </c>
      <c r="AE5" s="3">
        <f>AE4*Inputs!$B$8</f>
        <v>83831.02062887247</v>
      </c>
      <c r="AF5" s="3">
        <f>AF4*Inputs!$B$8</f>
        <v>85926.7961445943</v>
      </c>
      <c r="AG5" s="3">
        <f>AG4*Inputs!$B$8</f>
        <v>88074.96604820916</v>
      </c>
      <c r="AH5" s="3">
        <f>AH4*Inputs!$B$8</f>
        <v>90276.8401994144</v>
      </c>
      <c r="AI5" s="3">
        <f>AI4*Inputs!$B$8</f>
        <v>92533.76120439977</v>
      </c>
      <c r="AJ5" s="3">
        <f>AJ4*Inputs!$B$8</f>
        <v>94847.10523450976</v>
      </c>
      <c r="AK5" s="3">
        <f>AK4*Inputs!$B$8</f>
        <v>97218.2828653725</v>
      </c>
    </row>
    <row r="6" spans="1:37">
      <c r="A6" t="s">
        <v>44</v>
      </c>
      <c r="B6" s="8">
        <f>B4-B5</f>
        <v>146572</v>
      </c>
      <c r="C6" s="8">
        <f>C4-C5</f>
        <v>150837</v>
      </c>
      <c r="D6" s="8">
        <f>D4-D5</f>
        <v>152004</v>
      </c>
      <c r="E6" s="8">
        <f>E4-E5</f>
        <v>159225</v>
      </c>
      <c r="F6" s="8">
        <f>F4-F5</f>
        <v>164762</v>
      </c>
      <c r="G6" s="8">
        <f>G4-G5</f>
        <v>167803</v>
      </c>
      <c r="H6" s="8">
        <f>H4-H5</f>
        <v>170934</v>
      </c>
      <c r="I6" s="8">
        <f>I4-I5</f>
        <v>175450</v>
      </c>
      <c r="J6" s="8">
        <f>J4-J5</f>
        <v>181384.16400000002</v>
      </c>
      <c r="K6" s="8">
        <f>K4-K5</f>
        <v>185918.76810000002</v>
      </c>
      <c r="L6" s="8">
        <f>L4-L5</f>
        <v>190566.73730250003</v>
      </c>
      <c r="M6" s="8">
        <f>M4-M5</f>
        <v>195330.9057350625</v>
      </c>
      <c r="N6" s="8">
        <f>N4-N5</f>
        <v>214229.1708649298</v>
      </c>
      <c r="O6" s="8">
        <f>O4-O5</f>
        <v>205219.53283790004</v>
      </c>
      <c r="P6" s="8">
        <f>P4-P5</f>
        <v>210350.0211588475</v>
      </c>
      <c r="Q6" s="8">
        <f>Q4-Q5</f>
        <v>215608.77168781872</v>
      </c>
      <c r="R6" s="8">
        <f>R4-R5</f>
        <v>220998.99098001415</v>
      </c>
      <c r="S6" s="8">
        <f>S4-S5</f>
        <v>226523.96575451456</v>
      </c>
      <c r="T6" s="8">
        <f>T4-T5</f>
        <v>232187.0648983774</v>
      </c>
      <c r="U6" s="8">
        <f>U4-U5</f>
        <v>237991.74152083683</v>
      </c>
      <c r="V6" s="8">
        <f>V4-V5</f>
        <v>243941.53505885776</v>
      </c>
      <c r="W6" s="8">
        <f>W4-W5</f>
        <v>250040.07343532922</v>
      </c>
      <c r="X6" s="8">
        <f>X4-X5</f>
        <v>250040.07343532922</v>
      </c>
      <c r="Y6" s="8">
        <f>Y4-Y5</f>
        <v>256291.07527121244</v>
      </c>
      <c r="Z6" s="8">
        <f>Z4-Z5</f>
        <v>262698.3521529928</v>
      </c>
      <c r="AA6" s="8">
        <f>AA4-AA5</f>
        <v>269265.81095681764</v>
      </c>
      <c r="AB6" s="8">
        <f>AB4-AB5</f>
        <v>275997.4562307381</v>
      </c>
      <c r="AC6" s="8">
        <f>AC4-AC5</f>
        <v>282897.3926365065</v>
      </c>
      <c r="AD6" s="8">
        <f>AD4-AD5</f>
        <v>289969.8274524192</v>
      </c>
      <c r="AE6" s="8">
        <f>AE4-AE5</f>
        <v>297219.07313872967</v>
      </c>
      <c r="AF6" s="8">
        <f>AF4-AF5</f>
        <v>304649.54996719793</v>
      </c>
      <c r="AG6" s="8">
        <f>AG4-AG5</f>
        <v>312265.7887163779</v>
      </c>
      <c r="AH6" s="8">
        <f>AH4-AH5</f>
        <v>320072.4334342874</v>
      </c>
      <c r="AI6" s="8">
        <f>AI4-AI5</f>
        <v>328074.2442701446</v>
      </c>
      <c r="AJ6" s="8">
        <f>AJ4-AJ5</f>
        <v>336276.10037689825</v>
      </c>
      <c r="AK6" s="8">
        <f>AK4-AK5</f>
        <v>344683.0028863207</v>
      </c>
    </row>
    <row r="7" spans="1:37">
      <c r="A7" t="s">
        <v>45</v>
      </c>
      <c r="B7" s="3">
        <v>132352</v>
      </c>
      <c r="C7" s="3">
        <v>143938</v>
      </c>
      <c r="D7" s="3">
        <v>159805</v>
      </c>
      <c r="E7" s="3">
        <v>146220</v>
      </c>
      <c r="F7" s="3">
        <v>152329</v>
      </c>
      <c r="G7" s="3">
        <v>184991</v>
      </c>
      <c r="H7" s="3">
        <v>164486</v>
      </c>
      <c r="I7" s="3">
        <v>169501</v>
      </c>
      <c r="J7" s="3">
        <f>Revenue!J8*Inputs!$B$7+Inputs!J31*Inputs!$B$26</f>
        <v>182599.04</v>
      </c>
      <c r="K7" s="3">
        <f>Revenue!K8*Inputs!$B$7+Inputs!K31*Inputs!$B$26</f>
        <v>184414.016</v>
      </c>
      <c r="L7" s="3">
        <f>Revenue!L8*Inputs!$B$7+Inputs!L31*Inputs!$B$26</f>
        <v>186274.3664</v>
      </c>
      <c r="M7" s="3">
        <f>Revenue!M8*Inputs!$B$7+Inputs!M31*Inputs!$B$26</f>
        <v>198181.22556</v>
      </c>
      <c r="N7" s="3">
        <f>Revenue!N8*Inputs!$B$7+Inputs!N31*Inputs!$B$26</f>
        <v>200135.756199</v>
      </c>
      <c r="O7" s="3">
        <f>Revenue!O8*Inputs!$B$7+Inputs!O31*Inputs!$B$26</f>
        <v>202139.150103975</v>
      </c>
      <c r="P7" s="3">
        <f>Revenue!P8*Inputs!$B$7+Inputs!P31*Inputs!$B$26</f>
        <v>214192.62885657436</v>
      </c>
      <c r="Q7" s="3">
        <f>Revenue!Q8*Inputs!$B$7+Inputs!Q31*Inputs!$B$26</f>
        <v>216297.4445779887</v>
      </c>
      <c r="R7" s="3">
        <f>Revenue!R8*Inputs!$B$7+Inputs!R31*Inputs!$B$26</f>
        <v>218454.88069243846</v>
      </c>
      <c r="S7" s="3">
        <f>Revenue!S8*Inputs!$B$7+Inputs!S31*Inputs!$B$26</f>
        <v>230666.2527097494</v>
      </c>
      <c r="T7" s="3">
        <f>Revenue!T8*Inputs!$B$7+Inputs!T31*Inputs!$B$26</f>
        <v>232932.90902749315</v>
      </c>
      <c r="U7" s="3">
        <f>Revenue!U8*Inputs!$B$7+Inputs!U31*Inputs!$B$26</f>
        <v>245256.23175318047</v>
      </c>
      <c r="V7" s="3">
        <f>Revenue!V8*Inputs!$B$7+Inputs!V31*Inputs!$B$26</f>
        <v>247637.63754700997</v>
      </c>
      <c r="W7" s="3">
        <f>Revenue!W8*Inputs!$B$7+Inputs!W31*Inputs!$B$26</f>
        <v>250078.57848568523</v>
      </c>
      <c r="X7" s="3">
        <f>Revenue!X8*Inputs!$B$7+Inputs!X31*Inputs!$B$26</f>
        <v>198467.70360543526</v>
      </c>
      <c r="Y7" s="3">
        <f>Revenue!Y8*Inputs!$B$7+Inputs!Y31*Inputs!$B$26</f>
        <v>262580.5429478274</v>
      </c>
      <c r="Z7" s="3">
        <f>Revenue!Z8*Inputs!$B$7+Inputs!Z31*Inputs!$B$26</f>
        <v>265145.05652152305</v>
      </c>
      <c r="AA7" s="3">
        <f>Revenue!AA8*Inputs!$B$7+Inputs!AA31*Inputs!$B$26</f>
        <v>277773.68293456116</v>
      </c>
      <c r="AB7" s="3">
        <f>Revenue!AB8*Inputs!$B$7+Inputs!AB31*Inputs!$B$26</f>
        <v>280468.0250079252</v>
      </c>
      <c r="AC7" s="3">
        <f>Revenue!AC8*Inputs!$B$7+Inputs!AC31*Inputs!$B$26</f>
        <v>283229.7256331233</v>
      </c>
      <c r="AD7" s="3">
        <f>Revenue!AD8*Inputs!$B$7+Inputs!AD31*Inputs!$B$26</f>
        <v>296060.4687739514</v>
      </c>
      <c r="AE7" s="3">
        <f>Revenue!AE8*Inputs!$B$7+Inputs!AE31*Inputs!$B$26</f>
        <v>298961.9804933002</v>
      </c>
      <c r="AF7" s="3">
        <f>Revenue!AF8*Inputs!$B$7+Inputs!AF31*Inputs!$B$26</f>
        <v>301936.03000563267</v>
      </c>
      <c r="AG7" s="3">
        <f>Revenue!AG8*Inputs!$B$7+Inputs!AG31*Inputs!$B$26</f>
        <v>314984.4307557735</v>
      </c>
      <c r="AH7" s="3">
        <f>Revenue!AH8*Inputs!$B$7+Inputs!AH31*Inputs!$B$26</f>
        <v>318109.0415246679</v>
      </c>
      <c r="AI7" s="3">
        <f>Revenue!AI8*Inputs!$B$7+Inputs!AI31*Inputs!$B$26</f>
        <v>321311.7675627846</v>
      </c>
      <c r="AJ7" s="3">
        <f>Revenue!AJ8*Inputs!$B$7+Inputs!AJ31*Inputs!$B$26</f>
        <v>334594.5617518542</v>
      </c>
      <c r="AK7" s="3">
        <f>Revenue!AK8*Inputs!$B$7+Inputs!AK31*Inputs!$B$26</f>
        <v>337959.4257956506</v>
      </c>
    </row>
    <row r="8" spans="1:37">
      <c r="A8" t="s">
        <v>46</v>
      </c>
      <c r="B8" s="3">
        <v>243207</v>
      </c>
      <c r="C8" s="3">
        <v>254427</v>
      </c>
      <c r="D8" s="3">
        <v>268537</v>
      </c>
      <c r="E8" s="3">
        <v>262563</v>
      </c>
      <c r="F8" s="3">
        <v>282473</v>
      </c>
      <c r="G8" s="3">
        <v>271772</v>
      </c>
      <c r="H8" s="3">
        <v>280503</v>
      </c>
      <c r="I8" s="3">
        <v>296530</v>
      </c>
      <c r="J8" s="3">
        <f>Inputs!J30*Inputs!$B$25</f>
        <v>302500</v>
      </c>
      <c r="K8" s="3">
        <f>Inputs!K30*Inputs!$B$25</f>
        <v>302500</v>
      </c>
      <c r="L8" s="3">
        <f>Inputs!L30*Inputs!$B$25</f>
        <v>316250</v>
      </c>
      <c r="M8" s="3">
        <f>Inputs!M30*Inputs!$B$25</f>
        <v>316250</v>
      </c>
      <c r="N8" s="3">
        <f>Inputs!N30*Inputs!$B$25</f>
        <v>316250</v>
      </c>
      <c r="O8" s="3">
        <f>Inputs!O30*Inputs!$B$25</f>
        <v>330000</v>
      </c>
      <c r="P8" s="3">
        <f>Inputs!P30*Inputs!$B$25</f>
        <v>330000</v>
      </c>
      <c r="Q8" s="3">
        <f>Inputs!Q30*Inputs!$B$25</f>
        <v>343750</v>
      </c>
      <c r="R8" s="3">
        <f>Inputs!R30*Inputs!$B$25</f>
        <v>343750</v>
      </c>
      <c r="S8" s="3">
        <f>Inputs!S30*Inputs!$B$25</f>
        <v>357500</v>
      </c>
      <c r="T8" s="3">
        <f>Inputs!T30*Inputs!$B$25</f>
        <v>357500</v>
      </c>
      <c r="U8" s="3">
        <f>Inputs!U30*Inputs!$B$25</f>
        <v>371250</v>
      </c>
      <c r="V8" s="3">
        <f>Inputs!V30*Inputs!$B$25</f>
        <v>371250</v>
      </c>
      <c r="W8" s="3">
        <f>Inputs!W30*Inputs!$B$25</f>
        <v>385000</v>
      </c>
      <c r="X8" s="3">
        <f>Inputs!X30*Inputs!$B$25</f>
        <v>385000</v>
      </c>
      <c r="Y8" s="3">
        <f>Inputs!Y30*Inputs!$B$25</f>
        <v>398750</v>
      </c>
      <c r="Z8" s="3">
        <f>Inputs!Z30*Inputs!$B$25</f>
        <v>398750</v>
      </c>
      <c r="AA8" s="3">
        <f>Inputs!AA30*Inputs!$B$25</f>
        <v>398750</v>
      </c>
      <c r="AB8" s="3">
        <f>Inputs!AB30*Inputs!$B$25</f>
        <v>412500</v>
      </c>
      <c r="AC8" s="3">
        <f>Inputs!AC30*Inputs!$B$25</f>
        <v>412500</v>
      </c>
      <c r="AD8" s="3">
        <f>Inputs!AD30*Inputs!$B$25</f>
        <v>426250</v>
      </c>
      <c r="AE8" s="3">
        <f>Inputs!AE30*Inputs!$B$25</f>
        <v>426250</v>
      </c>
      <c r="AF8" s="3">
        <f>Inputs!AF30*Inputs!$B$25</f>
        <v>440000</v>
      </c>
      <c r="AG8" s="3">
        <f>Inputs!AG30*Inputs!$B$25</f>
        <v>440000</v>
      </c>
      <c r="AH8" s="3">
        <f>Inputs!AH30*Inputs!$B$25</f>
        <v>453750</v>
      </c>
      <c r="AI8" s="3">
        <f>Inputs!AI30*Inputs!$B$25</f>
        <v>453750</v>
      </c>
      <c r="AJ8" s="3">
        <f>Inputs!AJ30*Inputs!$B$25</f>
        <v>467500</v>
      </c>
      <c r="AK8" s="3">
        <f>Inputs!AK30*Inputs!$B$25</f>
        <v>467500</v>
      </c>
    </row>
    <row r="9" spans="1:37">
      <c r="A9" t="s">
        <v>33</v>
      </c>
      <c r="B9" s="3">
        <v>80387</v>
      </c>
      <c r="C9" s="3">
        <v>89891</v>
      </c>
      <c r="D9" s="3">
        <v>82653</v>
      </c>
      <c r="E9" s="3">
        <v>86168</v>
      </c>
      <c r="F9" s="3">
        <v>85811</v>
      </c>
      <c r="G9" s="3">
        <v>98921</v>
      </c>
      <c r="H9" s="3">
        <v>89608</v>
      </c>
      <c r="I9" s="3">
        <v>95530</v>
      </c>
      <c r="J9" s="3">
        <f>Inputs!J32*Inputs!$B$27+Inputs!$B$9</f>
        <v>93200</v>
      </c>
      <c r="K9" s="3">
        <f>Inputs!K32*Inputs!$B$27+Inputs!$B$9</f>
        <v>93200</v>
      </c>
      <c r="L9" s="3">
        <f>Inputs!L32*Inputs!$B$27+Inputs!$B$9</f>
        <v>93200</v>
      </c>
      <c r="M9" s="3">
        <f>Inputs!M32*Inputs!$B$27+Inputs!$B$9</f>
        <v>93200</v>
      </c>
      <c r="N9" s="3">
        <f>Inputs!N32*Inputs!$B$27+Inputs!$B$9</f>
        <v>93200</v>
      </c>
      <c r="O9" s="3">
        <f>Inputs!O32*Inputs!$B$27+Inputs!$B$9</f>
        <v>93200</v>
      </c>
      <c r="P9" s="3">
        <f>Inputs!P32*Inputs!$B$27+Inputs!$B$9</f>
        <v>102400</v>
      </c>
      <c r="Q9" s="3">
        <f>Inputs!Q32*Inputs!$B$27+Inputs!$B$9</f>
        <v>102400</v>
      </c>
      <c r="R9" s="3">
        <f>Inputs!R32*Inputs!$B$27+Inputs!$B$9</f>
        <v>102400</v>
      </c>
      <c r="S9" s="3">
        <f>Inputs!S32*Inputs!$B$27+Inputs!$B$9</f>
        <v>102400</v>
      </c>
      <c r="T9" s="3">
        <f>Inputs!T32*Inputs!$B$27+Inputs!$B$9</f>
        <v>102400</v>
      </c>
      <c r="U9" s="3">
        <f>Inputs!U32*Inputs!$B$27+Inputs!$B$9</f>
        <v>102400</v>
      </c>
      <c r="V9" s="3">
        <f>Inputs!V32*Inputs!$B$27+Inputs!$B$9</f>
        <v>102400</v>
      </c>
      <c r="W9" s="3">
        <f>Inputs!W32*Inputs!$B$27+Inputs!$B$9</f>
        <v>102400</v>
      </c>
      <c r="X9" s="3">
        <f>Inputs!X32*Inputs!$B$27+Inputs!$B$9</f>
        <v>111600</v>
      </c>
      <c r="Y9" s="3">
        <f>Inputs!Y32*Inputs!$B$27+Inputs!$B$9</f>
        <v>111600</v>
      </c>
      <c r="Z9" s="3">
        <f>Inputs!Z32*Inputs!$B$27+Inputs!$B$9</f>
        <v>111600</v>
      </c>
      <c r="AA9" s="3">
        <f>Inputs!AA32*Inputs!$B$27+Inputs!$B$9</f>
        <v>111600</v>
      </c>
      <c r="AB9" s="3">
        <f>Inputs!AB32*Inputs!$B$27</f>
        <v>73600</v>
      </c>
      <c r="AC9" s="3">
        <f>Inputs!AC32*Inputs!$B$27+Inputs!$B$9</f>
        <v>111600</v>
      </c>
      <c r="AD9" s="3">
        <f>Inputs!AD32*Inputs!$B$27+Inputs!$B$9</f>
        <v>111600</v>
      </c>
      <c r="AE9" s="3">
        <f>Inputs!AE32*Inputs!$B$27+Inputs!$B$9</f>
        <v>111600</v>
      </c>
      <c r="AF9" s="3">
        <f>Inputs!AF32*Inputs!$B$27+Inputs!$B$9</f>
        <v>111600</v>
      </c>
      <c r="AG9" s="3">
        <f>Inputs!AG32*Inputs!$B$27+Inputs!$B$9</f>
        <v>120800</v>
      </c>
      <c r="AH9" s="3">
        <f>Inputs!AH32*Inputs!$B$27+Inputs!$B$9</f>
        <v>120800</v>
      </c>
      <c r="AI9" s="3">
        <f>Inputs!AI32*Inputs!$B$27+Inputs!$B$9</f>
        <v>120800</v>
      </c>
      <c r="AJ9" s="3">
        <f>Inputs!AJ32*Inputs!$B$27+Inputs!$B$9</f>
        <v>120800</v>
      </c>
      <c r="AK9" s="3">
        <f>Inputs!AK32*Inputs!$B$27+Inputs!$B$9</f>
        <v>120800</v>
      </c>
    </row>
    <row r="10" spans="1:37">
      <c r="A10" t="s">
        <v>47</v>
      </c>
      <c r="B10" s="8">
        <f>SUM(B7:B9)</f>
        <v>455946</v>
      </c>
      <c r="C10" s="8">
        <f>SUM(C7:C9)</f>
        <v>488256</v>
      </c>
      <c r="D10" s="8">
        <f>SUM(D7:D9)</f>
        <v>510995</v>
      </c>
      <c r="E10" s="8">
        <f>SUM(E7:E9)</f>
        <v>494951</v>
      </c>
      <c r="F10" s="8">
        <f>SUM(F7:F9)</f>
        <v>520613</v>
      </c>
      <c r="G10" s="8">
        <f>SUM(G7:G9)</f>
        <v>555684</v>
      </c>
      <c r="H10" s="8">
        <f>SUM(H7:H9)</f>
        <v>534597</v>
      </c>
      <c r="I10" s="8">
        <f>SUM(I7:I9)</f>
        <v>561561</v>
      </c>
      <c r="J10" s="8">
        <f>SUM(J7:J9)</f>
        <v>578299.04</v>
      </c>
      <c r="K10" s="8">
        <f>SUM(K7:K9)</f>
        <v>580114.0160000001</v>
      </c>
      <c r="L10" s="8">
        <f>SUM(L7:L9)</f>
        <v>595724.3663999999</v>
      </c>
      <c r="M10" s="8">
        <f>SUM(M7:M9)</f>
        <v>607631.2255599999</v>
      </c>
      <c r="N10" s="8">
        <f>SUM(N7:N9)</f>
        <v>609585.7561989999</v>
      </c>
      <c r="O10" s="8">
        <f>SUM(O7:O9)</f>
        <v>625339.150103975</v>
      </c>
      <c r="P10" s="8">
        <f>SUM(P7:P9)</f>
        <v>646592.6288565744</v>
      </c>
      <c r="Q10" s="8">
        <f>SUM(Q7:Q9)</f>
        <v>662447.4445779887</v>
      </c>
      <c r="R10" s="8">
        <f>SUM(R7:R9)</f>
        <v>664604.8806924385</v>
      </c>
      <c r="S10" s="8">
        <f>SUM(S7:S9)</f>
        <v>690566.2527097494</v>
      </c>
      <c r="T10" s="8">
        <f>SUM(T7:T9)</f>
        <v>692832.9090274931</v>
      </c>
      <c r="U10" s="8">
        <f>SUM(U7:U9)</f>
        <v>718906.2317531805</v>
      </c>
      <c r="V10" s="8">
        <f>SUM(V7:V9)</f>
        <v>721287.63754701</v>
      </c>
      <c r="W10" s="8">
        <f>SUM(W7:W9)</f>
        <v>737478.5784856852</v>
      </c>
      <c r="X10" s="8">
        <f>SUM(X7:X9)</f>
        <v>695067.7036054353</v>
      </c>
      <c r="Y10" s="8">
        <f>SUM(Y7:Y9)</f>
        <v>772930.5429478274</v>
      </c>
      <c r="Z10" s="8">
        <f>SUM(Z7:Z9)</f>
        <v>775495.056521523</v>
      </c>
      <c r="AA10" s="8">
        <f>SUM(AA7:AA9)</f>
        <v>788123.6829345612</v>
      </c>
      <c r="AB10" s="8">
        <f>SUM(AB7:AB9)</f>
        <v>766568.0250079252</v>
      </c>
      <c r="AC10" s="8">
        <f>SUM(AC7:AC9)</f>
        <v>807329.7256331233</v>
      </c>
      <c r="AD10" s="8">
        <f>SUM(AD7:AD9)</f>
        <v>833910.4687739514</v>
      </c>
      <c r="AE10" s="8">
        <f>SUM(AE7:AE9)</f>
        <v>836811.9804933001</v>
      </c>
      <c r="AF10" s="8">
        <f>SUM(AF7:AF9)</f>
        <v>853536.0300056327</v>
      </c>
      <c r="AG10" s="8">
        <f>SUM(AG7:AG9)</f>
        <v>875784.4307557736</v>
      </c>
      <c r="AH10" s="8">
        <f>SUM(AH7:AH9)</f>
        <v>892659.0415246679</v>
      </c>
      <c r="AI10" s="8">
        <f>SUM(AI7:AI9)</f>
        <v>895861.7675627846</v>
      </c>
      <c r="AJ10" s="8">
        <f>SUM(AJ7:AJ9)</f>
        <v>922894.5617518541</v>
      </c>
      <c r="AK10" s="8">
        <f>SUM(AK7:AK9)</f>
        <v>926259.4257956506</v>
      </c>
    </row>
    <row r="11" spans="1:37">
      <c r="A11" t="s">
        <v>48</v>
      </c>
      <c r="B11" s="8">
        <f>B6-B10</f>
        <v>-309374</v>
      </c>
      <c r="C11" s="8">
        <f>C6-C10</f>
        <v>-337419</v>
      </c>
      <c r="D11" s="8">
        <f>D6-D10</f>
        <v>-358991</v>
      </c>
      <c r="E11" s="8">
        <f>E6-E10</f>
        <v>-335726</v>
      </c>
      <c r="F11" s="8">
        <f>F6-F10</f>
        <v>-355851</v>
      </c>
      <c r="G11" s="8">
        <f>G6-G10</f>
        <v>-387881</v>
      </c>
      <c r="H11" s="8">
        <f>H6-H10</f>
        <v>-363663</v>
      </c>
      <c r="I11" s="8">
        <f>I6-I10</f>
        <v>-386111</v>
      </c>
      <c r="J11" s="8">
        <f>J6-J10</f>
        <v>-396914.87600000005</v>
      </c>
      <c r="K11" s="8">
        <f>K6-K10</f>
        <v>-394195.2479000001</v>
      </c>
      <c r="L11" s="8">
        <f>L6-L10</f>
        <v>-405157.6290974999</v>
      </c>
      <c r="M11" s="8">
        <f>M6-M10</f>
        <v>-412300.31982493744</v>
      </c>
      <c r="N11" s="8">
        <f>N6-N10</f>
        <v>-395356.58533407014</v>
      </c>
      <c r="O11" s="8">
        <f>O6-O10</f>
        <v>-420119.6172660749</v>
      </c>
      <c r="P11" s="8">
        <f>P6-P10</f>
        <v>-436242.6076977269</v>
      </c>
      <c r="Q11" s="8">
        <f>Q6-Q10</f>
        <v>-446838.67289017</v>
      </c>
      <c r="R11" s="8">
        <f>R6-R10</f>
        <v>-443605.8897124243</v>
      </c>
      <c r="S11" s="8">
        <f>S6-S10</f>
        <v>-464042.2869552348</v>
      </c>
      <c r="T11" s="8">
        <f>T6-T10</f>
        <v>-460645.8441291157</v>
      </c>
      <c r="U11" s="8">
        <f>U6-U10</f>
        <v>-480914.49023234367</v>
      </c>
      <c r="V11" s="8">
        <f>V6-V10</f>
        <v>-477346.1024881522</v>
      </c>
      <c r="W11" s="8">
        <f>W6-W10</f>
        <v>-487438.5050503559</v>
      </c>
      <c r="X11" s="8">
        <f>X6-X10</f>
        <v>-445027.6301701061</v>
      </c>
      <c r="Y11" s="8">
        <f>Y6-Y10</f>
        <v>-516639.46767661494</v>
      </c>
      <c r="Z11" s="8">
        <f>Z6-Z10</f>
        <v>-512796.70436853025</v>
      </c>
      <c r="AA11" s="8">
        <f>AA6-AA10</f>
        <v>-518857.8719777435</v>
      </c>
      <c r="AB11" s="8">
        <f>AB6-AB10</f>
        <v>-490570.56877718715</v>
      </c>
      <c r="AC11" s="8">
        <f>AC6-AC10</f>
        <v>-524432.3329966168</v>
      </c>
      <c r="AD11" s="8">
        <f>AD6-AD10</f>
        <v>-543940.6413215322</v>
      </c>
      <c r="AE11" s="8">
        <f>AE6-AE10</f>
        <v>-539592.9073545705</v>
      </c>
      <c r="AF11" s="8">
        <f>AF6-AF10</f>
        <v>-548886.4800384347</v>
      </c>
      <c r="AG11" s="8">
        <f>AG6-AG10</f>
        <v>-563518.6420393956</v>
      </c>
      <c r="AH11" s="8">
        <f>AH6-AH10</f>
        <v>-572586.6080903804</v>
      </c>
      <c r="AI11" s="8">
        <f>AI6-AI10</f>
        <v>-567787.52329264</v>
      </c>
      <c r="AJ11" s="8">
        <f>AJ6-AJ10</f>
        <v>-586618.461374956</v>
      </c>
      <c r="AK11" s="8">
        <f>AK6-AK10</f>
        <v>-581576.4229093299</v>
      </c>
    </row>
    <row r="12" spans="1:37">
      <c r="A12" t="s">
        <v>49</v>
      </c>
      <c r="B12" s="3">
        <v>9000</v>
      </c>
      <c r="C12" s="3">
        <v>9000</v>
      </c>
      <c r="D12" s="3">
        <v>9000</v>
      </c>
      <c r="E12" s="3">
        <v>9000</v>
      </c>
      <c r="F12" s="3">
        <v>9000</v>
      </c>
      <c r="G12" s="3">
        <v>9000</v>
      </c>
      <c r="H12" s="3">
        <v>9000</v>
      </c>
      <c r="I12" s="3">
        <v>9000</v>
      </c>
      <c r="J12" s="3">
        <f>Inputs!$B$10</f>
        <v>9000</v>
      </c>
      <c r="K12" s="3">
        <f>Inputs!$B$10</f>
        <v>9000</v>
      </c>
      <c r="L12" s="3">
        <f>Inputs!$B$10</f>
        <v>9000</v>
      </c>
      <c r="M12" s="3">
        <f>Inputs!$B$10</f>
        <v>9000</v>
      </c>
      <c r="N12" s="3">
        <f>Inputs!$B$10</f>
        <v>9000</v>
      </c>
      <c r="O12" s="3">
        <f>Inputs!$B$10</f>
        <v>9000</v>
      </c>
      <c r="P12" s="3">
        <f>Inputs!$B$10</f>
        <v>9000</v>
      </c>
      <c r="Q12" s="3">
        <f>Inputs!$B$10</f>
        <v>9000</v>
      </c>
      <c r="R12" s="3">
        <f>Inputs!$B$10</f>
        <v>9000</v>
      </c>
      <c r="S12" s="3">
        <f>Inputs!$B$10</f>
        <v>9000</v>
      </c>
      <c r="T12" s="3">
        <f>Inputs!$B$10</f>
        <v>9000</v>
      </c>
      <c r="U12" s="3">
        <f>Inputs!$B$10</f>
        <v>9000</v>
      </c>
      <c r="V12" s="3">
        <f>Inputs!$B$10</f>
        <v>9000</v>
      </c>
      <c r="W12" s="3">
        <f>Inputs!$B$10</f>
        <v>9000</v>
      </c>
      <c r="X12" s="3">
        <f>Inputs!$B$10</f>
        <v>9000</v>
      </c>
      <c r="Y12" s="3">
        <f>Inputs!$B$10</f>
        <v>9000</v>
      </c>
      <c r="Z12" s="3">
        <f>Inputs!$B$10</f>
        <v>9000</v>
      </c>
      <c r="AA12" s="3">
        <f>Inputs!$B$10</f>
        <v>9000</v>
      </c>
      <c r="AB12" s="3">
        <f>Inputs!$B$10</f>
        <v>9000</v>
      </c>
      <c r="AC12" s="3">
        <f>Inputs!$B$10</f>
        <v>9000</v>
      </c>
      <c r="AD12" s="3">
        <f>Inputs!$B$10</f>
        <v>9000</v>
      </c>
      <c r="AE12" s="3">
        <f>Inputs!$B$10</f>
        <v>9000</v>
      </c>
      <c r="AF12" s="3">
        <f>Inputs!$B$10</f>
        <v>9000</v>
      </c>
      <c r="AG12" s="3">
        <f>Inputs!$B$10</f>
        <v>9000</v>
      </c>
      <c r="AH12" s="3">
        <f>Inputs!$B$10</f>
        <v>9000</v>
      </c>
      <c r="AI12" s="3">
        <f>Inputs!$B$10</f>
        <v>9000</v>
      </c>
      <c r="AJ12" s="3">
        <f>Inputs!$B$10</f>
        <v>9000</v>
      </c>
      <c r="AK12" s="3">
        <f>Inputs!$B$10</f>
        <v>9000</v>
      </c>
    </row>
    <row r="13" spans="1:37">
      <c r="A13" t="s">
        <v>50</v>
      </c>
      <c r="B13" s="3">
        <f>B11-B12</f>
        <v>-318374</v>
      </c>
      <c r="C13" s="3">
        <f>C11-C12</f>
        <v>-346419</v>
      </c>
      <c r="D13" s="3">
        <f>D11-D12</f>
        <v>-367991</v>
      </c>
      <c r="E13" s="3">
        <f>E11-E12</f>
        <v>-344726</v>
      </c>
      <c r="F13" s="3">
        <f>F11-F12</f>
        <v>-364851</v>
      </c>
      <c r="G13" s="3">
        <f>G11-G12</f>
        <v>-396881</v>
      </c>
      <c r="H13" s="3">
        <f>H11-H12</f>
        <v>-372663</v>
      </c>
      <c r="I13" s="3">
        <f>I11-I12</f>
        <v>-395111</v>
      </c>
      <c r="J13" s="3">
        <f>J11-J12</f>
        <v>-405914.87600000005</v>
      </c>
      <c r="K13" s="3">
        <f>K11-K12</f>
        <v>-403195.2479000001</v>
      </c>
      <c r="L13" s="3">
        <f>L11-L12</f>
        <v>-414157.6290974999</v>
      </c>
      <c r="M13" s="3">
        <f>M11-M12</f>
        <v>-421300.31982493744</v>
      </c>
      <c r="N13" s="3">
        <f>N11-N12</f>
        <v>-404356.58533407014</v>
      </c>
      <c r="O13" s="3">
        <f>O11-O12</f>
        <v>-429119.6172660749</v>
      </c>
      <c r="P13" s="3">
        <f>P11-P12</f>
        <v>-445242.6076977269</v>
      </c>
      <c r="Q13" s="3">
        <f>Q11-Q12</f>
        <v>-455838.67289017</v>
      </c>
      <c r="R13" s="3">
        <f>R11-R12</f>
        <v>-452605.8897124243</v>
      </c>
      <c r="S13" s="3">
        <f>S11-S12</f>
        <v>-473042.2869552348</v>
      </c>
      <c r="T13" s="3">
        <f>T11-T12</f>
        <v>-469645.8441291157</v>
      </c>
      <c r="U13" s="3">
        <f>U11-U12</f>
        <v>-489914.49023234367</v>
      </c>
      <c r="V13" s="3">
        <f>V11-V12</f>
        <v>-486346.1024881522</v>
      </c>
      <c r="W13" s="3">
        <f>W11-W12</f>
        <v>-496438.5050503559</v>
      </c>
      <c r="X13" s="3">
        <f>X11-X12</f>
        <v>-454027.6301701061</v>
      </c>
      <c r="Y13" s="3">
        <f>Y11-Y12</f>
        <v>-525639.4676766149</v>
      </c>
      <c r="Z13" s="3">
        <f>Z11-Z12</f>
        <v>-521796.70436853025</v>
      </c>
      <c r="AA13" s="3">
        <f>AA11-AA12</f>
        <v>-527857.8719777435</v>
      </c>
      <c r="AB13" s="3">
        <f>AB11-AB12</f>
        <v>-499570.56877718715</v>
      </c>
      <c r="AC13" s="3">
        <f>AC11-AC12</f>
        <v>-533432.3329966168</v>
      </c>
      <c r="AD13" s="3">
        <f>AD11-AD12</f>
        <v>-552940.6413215322</v>
      </c>
      <c r="AE13" s="3">
        <f>AE11-AE12</f>
        <v>-548592.9073545705</v>
      </c>
      <c r="AF13" s="3">
        <f>AF11-AF12</f>
        <v>-557886.4800384347</v>
      </c>
      <c r="AG13" s="3">
        <f>AG11-AG12</f>
        <v>-572518.6420393956</v>
      </c>
      <c r="AH13" s="3">
        <f>AH11-AH12</f>
        <v>-581586.6080903804</v>
      </c>
      <c r="AI13" s="3">
        <f>AI11-AI12</f>
        <v>-576787.52329264</v>
      </c>
      <c r="AJ13" s="3">
        <f>AJ11-AJ12</f>
        <v>-595618.461374956</v>
      </c>
      <c r="AK13" s="3">
        <f>AK11-AK12</f>
        <v>-590576.4229093299</v>
      </c>
    </row>
    <row r="14" spans="1:37">
      <c r="A14" t="s">
        <v>51</v>
      </c>
      <c r="B14" s="3">
        <v>0</v>
      </c>
      <c r="C14" s="3">
        <v>0</v>
      </c>
      <c r="D14" s="3">
        <v>0</v>
      </c>
      <c r="E14" s="3">
        <v>0</v>
      </c>
      <c r="F14" s="3">
        <v>0</v>
      </c>
      <c r="G14" s="3">
        <v>0</v>
      </c>
      <c r="H14" s="3">
        <v>0</v>
      </c>
      <c r="I14" s="3">
        <v>0</v>
      </c>
      <c r="J14" s="3">
        <f>MAX(0,J13)*Inputs!$B$12</f>
        <v>0.0</v>
      </c>
      <c r="K14" s="3">
        <f>MAX(0,K13)*Inputs!$B$12</f>
        <v>0.0</v>
      </c>
      <c r="L14" s="3">
        <f>MAX(0,L13)*Inputs!$B$12</f>
        <v>0.0</v>
      </c>
      <c r="M14" s="3">
        <f>MAX(0,M13)*Inputs!$B$12</f>
        <v>0.0</v>
      </c>
      <c r="N14" s="3">
        <f>MAX(0,N13)*Inputs!$B$12</f>
        <v>0.0</v>
      </c>
      <c r="O14" s="3">
        <f>MAX(0,O13)*Inputs!$B$12</f>
        <v>0.0</v>
      </c>
      <c r="P14" s="3">
        <f>MAX(0,P13)*Inputs!$B$12</f>
        <v>0.0</v>
      </c>
      <c r="Q14" s="3">
        <f>MAX(0,Q13)*Inputs!$B$12</f>
        <v>0.0</v>
      </c>
      <c r="R14" s="3">
        <f>MAX(0,R13)*Inputs!$B$12</f>
        <v>0.0</v>
      </c>
      <c r="S14" s="3">
        <f>MAX(0,S13)*Inputs!$B$12</f>
        <v>0.0</v>
      </c>
      <c r="T14" s="3">
        <f>MAX(0,T13)*Inputs!$B$12</f>
        <v>0.0</v>
      </c>
      <c r="U14" s="3">
        <f>MAX(0,U13)*Inputs!$B$12</f>
        <v>0.0</v>
      </c>
      <c r="V14" s="3">
        <f>MAX(0,V13)*Inputs!$B$12</f>
        <v>0.0</v>
      </c>
      <c r="W14" s="3">
        <f>MAX(0,W13)*Inputs!$B$12</f>
        <v>0.0</v>
      </c>
      <c r="X14" s="3">
        <f>MAX(0,X13)*Inputs!$B$12</f>
        <v>0.0</v>
      </c>
      <c r="Y14" s="3">
        <f>MAX(0,Y13)*Inputs!$B$12</f>
        <v>0.0</v>
      </c>
      <c r="Z14" s="3">
        <f>MAX(0,Z13)*Inputs!$B$12</f>
        <v>0.0</v>
      </c>
      <c r="AA14" s="3">
        <f>MAX(0,AA13)*Inputs!$B$12</f>
        <v>0.0</v>
      </c>
      <c r="AB14" s="3">
        <f>MAX(0,AB13)*Inputs!$B$12</f>
        <v>0.0</v>
      </c>
      <c r="AC14" s="3">
        <f>MAX(0,AC13)*Inputs!$B$12</f>
        <v>0.0</v>
      </c>
      <c r="AD14" s="3">
        <f>MAX(0,AD13)*Inputs!$B$12</f>
        <v>0.0</v>
      </c>
      <c r="AE14" s="3">
        <f>MAX(0,AE13)*Inputs!$B$12</f>
        <v>0.0</v>
      </c>
      <c r="AF14" s="3">
        <f>MAX(0,AF13)*Inputs!$B$12</f>
        <v>0.0</v>
      </c>
      <c r="AG14" s="3">
        <f>MAX(0,AG13)*Inputs!$B$12</f>
        <v>0.0</v>
      </c>
      <c r="AH14" s="3">
        <f>MAX(0,AH13)*Inputs!$B$12</f>
        <v>0.0</v>
      </c>
      <c r="AI14" s="3">
        <f>MAX(0,AI13)*Inputs!$B$12</f>
        <v>0.0</v>
      </c>
      <c r="AJ14" s="3">
        <f>MAX(0,AJ13)*Inputs!$B$12</f>
        <v>0.0</v>
      </c>
      <c r="AK14" s="3">
        <f>MAX(0,AK13)*Inputs!$B$12</f>
        <v>0.0</v>
      </c>
    </row>
    <row r="15" spans="1:37">
      <c r="A15" t="s">
        <v>52</v>
      </c>
      <c r="B15" s="8">
        <f>B13-B14</f>
        <v>-318374</v>
      </c>
      <c r="C15" s="8">
        <f>C13-C14</f>
        <v>-346419</v>
      </c>
      <c r="D15" s="8">
        <f>D13-D14</f>
        <v>-367991</v>
      </c>
      <c r="E15" s="8">
        <f>E13-E14</f>
        <v>-344726</v>
      </c>
      <c r="F15" s="8">
        <f>F13-F14</f>
        <v>-364851</v>
      </c>
      <c r="G15" s="8">
        <f>G13-G14</f>
        <v>-396881</v>
      </c>
      <c r="H15" s="8">
        <f>H13-H14</f>
        <v>-372663</v>
      </c>
      <c r="I15" s="8">
        <f>I13-I14</f>
        <v>-395111</v>
      </c>
      <c r="J15" s="8">
        <f>J13-J14</f>
        <v>-405914.87600000005</v>
      </c>
      <c r="K15" s="8">
        <f>K13-K14</f>
        <v>-403195.2479000001</v>
      </c>
      <c r="L15" s="8">
        <f>L13-L14</f>
        <v>-414157.6290974999</v>
      </c>
      <c r="M15" s="8">
        <f>M13-M14</f>
        <v>-421300.31982493744</v>
      </c>
      <c r="N15" s="8">
        <f>N13-N14</f>
        <v>-404356.58533407014</v>
      </c>
      <c r="O15" s="8">
        <f>O13-O14</f>
        <v>-429119.6172660749</v>
      </c>
      <c r="P15" s="8">
        <f>P13-P14</f>
        <v>-445242.6076977269</v>
      </c>
      <c r="Q15" s="8">
        <f>Q13-Q14</f>
        <v>-455838.67289017</v>
      </c>
      <c r="R15" s="8">
        <f>R13-R14</f>
        <v>-452605.8897124243</v>
      </c>
      <c r="S15" s="8">
        <f>S13-S14</f>
        <v>-473042.2869552348</v>
      </c>
      <c r="T15" s="8">
        <f>T13-T14</f>
        <v>-469645.8441291157</v>
      </c>
      <c r="U15" s="8">
        <f>U13-U14</f>
        <v>-489914.49023234367</v>
      </c>
      <c r="V15" s="8">
        <f>V13-V14</f>
        <v>-486346.1024881522</v>
      </c>
      <c r="W15" s="8">
        <f>W13-W14</f>
        <v>-496438.5050503559</v>
      </c>
      <c r="X15" s="8">
        <f>X13-X14</f>
        <v>-454027.6301701061</v>
      </c>
      <c r="Y15" s="8">
        <f>Y13-Y14</f>
        <v>-525639.4676766149</v>
      </c>
      <c r="Z15" s="8">
        <f>Z13-Z14</f>
        <v>-521796.70436853025</v>
      </c>
      <c r="AA15" s="8">
        <f>AA13-AA14</f>
        <v>-527857.8719777435</v>
      </c>
      <c r="AB15" s="8">
        <f>AB13-AB14</f>
        <v>-499570.56877718715</v>
      </c>
      <c r="AC15" s="8">
        <f>AC13-AC14</f>
        <v>-533432.3329966168</v>
      </c>
      <c r="AD15" s="8">
        <f>AD13-AD14</f>
        <v>-552940.6413215322</v>
      </c>
      <c r="AE15" s="8">
        <f>AE13-AE14</f>
        <v>-548592.9073545705</v>
      </c>
      <c r="AF15" s="8">
        <f>AF13-AF14</f>
        <v>-557886.4800384347</v>
      </c>
      <c r="AG15" s="8">
        <f>AG13-AG14</f>
        <v>-572518.6420393956</v>
      </c>
      <c r="AH15" s="8">
        <f>AH13-AH14</f>
        <v>-581586.6080903804</v>
      </c>
      <c r="AI15" s="8">
        <f>AI13-AI14</f>
        <v>-576787.52329264</v>
      </c>
      <c r="AJ15" s="8">
        <f>AJ13-AJ14</f>
        <v>-595618.461374956</v>
      </c>
      <c r="AK15" s="8">
        <f>AK13-AK14</f>
        <v>-590576.4229093299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K15"/>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6.7109375" customWidth="1"/>
    <col min="2" max="37" width="12.7109375" customWidth="1"/>
  </cols>
  <sheetData>
    <row r="1" spans="1:37">
      <c r="A1" s="1" t="s">
        <v>53</v>
      </c>
    </row>
    <row r="2" spans="1:37">
      <c r="A2" s="6" t="s">
        <v>35</v>
      </c>
      <c r="B2" s="6">
        <v>46023</v>
      </c>
      <c r="C2" s="6">
        <v>46054</v>
      </c>
      <c r="D2" s="6">
        <v>46082</v>
      </c>
      <c r="E2" s="6">
        <v>46113</v>
      </c>
      <c r="F2" s="6">
        <v>46143</v>
      </c>
      <c r="G2" s="6">
        <v>46174</v>
      </c>
      <c r="H2" s="6">
        <v>46204</v>
      </c>
      <c r="I2" s="6">
        <v>46235</v>
      </c>
      <c r="J2" s="6">
        <v>46266</v>
      </c>
      <c r="K2" s="6">
        <v>46296</v>
      </c>
      <c r="L2" s="6">
        <v>46327</v>
      </c>
      <c r="M2" s="6">
        <v>46357</v>
      </c>
      <c r="N2" s="6">
        <v>46388</v>
      </c>
      <c r="O2" s="6">
        <v>46419</v>
      </c>
      <c r="P2" s="6">
        <v>46447</v>
      </c>
      <c r="Q2" s="6">
        <v>46478</v>
      </c>
      <c r="R2" s="6">
        <v>46508</v>
      </c>
      <c r="S2" s="6">
        <v>46539</v>
      </c>
      <c r="T2" s="6">
        <v>46569</v>
      </c>
      <c r="U2" s="6">
        <v>46600</v>
      </c>
      <c r="V2" s="6">
        <v>46631</v>
      </c>
      <c r="W2" s="6">
        <v>46661</v>
      </c>
      <c r="X2" s="6">
        <v>46692</v>
      </c>
      <c r="Y2" s="6">
        <v>46722</v>
      </c>
      <c r="Z2" s="6">
        <v>46753</v>
      </c>
      <c r="AA2" s="6">
        <v>46784</v>
      </c>
      <c r="AB2" s="6">
        <v>46813</v>
      </c>
      <c r="AC2" s="6">
        <v>46844</v>
      </c>
      <c r="AD2" s="6">
        <v>46874</v>
      </c>
      <c r="AE2" s="6">
        <v>46905</v>
      </c>
      <c r="AF2" s="6">
        <v>46935</v>
      </c>
      <c r="AG2" s="6">
        <v>46966</v>
      </c>
      <c r="AH2" s="6">
        <v>46997</v>
      </c>
      <c r="AI2" s="6">
        <v>47027</v>
      </c>
      <c r="AJ2" s="6">
        <v>47058</v>
      </c>
      <c r="AK2" s="6">
        <v>47088</v>
      </c>
    </row>
    <row r="4" spans="1:37">
      <c r="A4" t="s">
        <v>52</v>
      </c>
      <c r="B4" s="8">
        <f>'P&amp;L'!B15</f>
        <v>-318374</v>
      </c>
      <c r="C4" s="8">
        <f>'P&amp;L'!C15</f>
        <v>-346419</v>
      </c>
      <c r="D4" s="8">
        <f>'P&amp;L'!D15</f>
        <v>-367991</v>
      </c>
      <c r="E4" s="8">
        <f>'P&amp;L'!E15</f>
        <v>-344726</v>
      </c>
      <c r="F4" s="8">
        <f>'P&amp;L'!F15</f>
        <v>-364851</v>
      </c>
      <c r="G4" s="8">
        <f>'P&amp;L'!G15</f>
        <v>-396881</v>
      </c>
      <c r="H4" s="8">
        <f>'P&amp;L'!H15</f>
        <v>-372663</v>
      </c>
      <c r="I4" s="8">
        <f>'P&amp;L'!I15</f>
        <v>-395111</v>
      </c>
      <c r="J4" s="8">
        <f>'P&amp;L'!J15</f>
        <v>-405914.87600000005</v>
      </c>
      <c r="K4" s="8">
        <f>'P&amp;L'!K15</f>
        <v>-403195.2479000001</v>
      </c>
      <c r="L4" s="8">
        <f>'P&amp;L'!L15</f>
        <v>-414157.6290974999</v>
      </c>
      <c r="M4" s="8">
        <f>'P&amp;L'!M15</f>
        <v>-421300.31982493744</v>
      </c>
      <c r="N4" s="8">
        <f>'P&amp;L'!N15</f>
        <v>-404356.58533407014</v>
      </c>
      <c r="O4" s="8">
        <f>'P&amp;L'!O15</f>
        <v>-429119.6172660749</v>
      </c>
      <c r="P4" s="8">
        <f>'P&amp;L'!P15</f>
        <v>-445242.6076977269</v>
      </c>
      <c r="Q4" s="8">
        <f>'P&amp;L'!Q15</f>
        <v>-455838.67289017</v>
      </c>
      <c r="R4" s="8">
        <f>'P&amp;L'!R15</f>
        <v>-452605.8897124243</v>
      </c>
      <c r="S4" s="8">
        <f>'P&amp;L'!S15</f>
        <v>-473042.2869552348</v>
      </c>
      <c r="T4" s="8">
        <f>'P&amp;L'!T15</f>
        <v>-469645.8441291157</v>
      </c>
      <c r="U4" s="8">
        <f>'P&amp;L'!U15</f>
        <v>-489914.49023234367</v>
      </c>
      <c r="V4" s="8">
        <f>'P&amp;L'!V15</f>
        <v>-486346.1024881522</v>
      </c>
      <c r="W4" s="8">
        <f>'P&amp;L'!W15</f>
        <v>-496438.5050503559</v>
      </c>
      <c r="X4" s="8">
        <f>'P&amp;L'!X15</f>
        <v>-454027.6301701061</v>
      </c>
      <c r="Y4" s="8">
        <f>'P&amp;L'!Y15</f>
        <v>-525639.4676766149</v>
      </c>
      <c r="Z4" s="8">
        <f>'P&amp;L'!Z15</f>
        <v>-521796.70436853025</v>
      </c>
      <c r="AA4" s="8">
        <f>'P&amp;L'!AA15</f>
        <v>-527857.8719777435</v>
      </c>
      <c r="AB4" s="8">
        <f>'P&amp;L'!AB15</f>
        <v>-499570.56877718715</v>
      </c>
      <c r="AC4" s="8">
        <f>'P&amp;L'!AC15</f>
        <v>-533432.3329966168</v>
      </c>
      <c r="AD4" s="8">
        <f>'P&amp;L'!AD15</f>
        <v>-552940.6413215322</v>
      </c>
      <c r="AE4" s="8">
        <f>'P&amp;L'!AE15</f>
        <v>-548592.9073545705</v>
      </c>
      <c r="AF4" s="8">
        <f>'P&amp;L'!AF15</f>
        <v>-557886.4800384347</v>
      </c>
      <c r="AG4" s="8">
        <f>'P&amp;L'!AG15</f>
        <v>-572518.6420393956</v>
      </c>
      <c r="AH4" s="8">
        <f>'P&amp;L'!AH15</f>
        <v>-581586.6080903804</v>
      </c>
      <c r="AI4" s="8">
        <f>'P&amp;L'!AI15</f>
        <v>-576787.52329264</v>
      </c>
      <c r="AJ4" s="8">
        <f>'P&amp;L'!AJ15</f>
        <v>-595618.461374956</v>
      </c>
      <c r="AK4" s="8">
        <f>'P&amp;L'!AK15</f>
        <v>-590576.4229093299</v>
      </c>
    </row>
    <row r="5" spans="1:37">
      <c r="A5" t="s">
        <v>49</v>
      </c>
      <c r="B5" s="3">
        <f>'P&amp;L'!B12</f>
        <v>9000</v>
      </c>
      <c r="C5" s="3">
        <f>'P&amp;L'!C12</f>
        <v>9000</v>
      </c>
      <c r="D5" s="3">
        <f>'P&amp;L'!D12</f>
        <v>9000</v>
      </c>
      <c r="E5" s="3">
        <f>'P&amp;L'!E12</f>
        <v>9000</v>
      </c>
      <c r="F5" s="3">
        <f>'P&amp;L'!F12</f>
        <v>9000</v>
      </c>
      <c r="G5" s="3">
        <f>'P&amp;L'!G12</f>
        <v>9000</v>
      </c>
      <c r="H5" s="3">
        <f>'P&amp;L'!H12</f>
        <v>9000</v>
      </c>
      <c r="I5" s="3">
        <f>'P&amp;L'!I12</f>
        <v>9000</v>
      </c>
      <c r="J5" s="3">
        <f>'P&amp;L'!J12</f>
        <v>9000</v>
      </c>
      <c r="K5" s="3">
        <f>'P&amp;L'!K12</f>
        <v>9000</v>
      </c>
      <c r="L5" s="3">
        <f>'P&amp;L'!L12</f>
        <v>9000</v>
      </c>
      <c r="M5" s="3">
        <f>'P&amp;L'!M12</f>
        <v>9000</v>
      </c>
      <c r="N5" s="3">
        <f>'P&amp;L'!N12</f>
        <v>9000</v>
      </c>
      <c r="O5" s="3">
        <f>'P&amp;L'!O12</f>
        <v>9000</v>
      </c>
      <c r="P5" s="3">
        <f>'P&amp;L'!P12</f>
        <v>9000</v>
      </c>
      <c r="Q5" s="3">
        <f>'P&amp;L'!Q12</f>
        <v>9000</v>
      </c>
      <c r="R5" s="3">
        <f>'P&amp;L'!R12</f>
        <v>9000</v>
      </c>
      <c r="S5" s="3">
        <f>'P&amp;L'!S12</f>
        <v>9000</v>
      </c>
      <c r="T5" s="3">
        <f>'P&amp;L'!T12</f>
        <v>9000</v>
      </c>
      <c r="U5" s="3">
        <f>'P&amp;L'!U12</f>
        <v>9000</v>
      </c>
      <c r="V5" s="3">
        <f>'P&amp;L'!V12</f>
        <v>9000</v>
      </c>
      <c r="W5" s="3">
        <f>'P&amp;L'!W12</f>
        <v>9000</v>
      </c>
      <c r="X5" s="3">
        <f>'P&amp;L'!X12</f>
        <v>9000</v>
      </c>
      <c r="Y5" s="3">
        <f>'P&amp;L'!Y12</f>
        <v>9000</v>
      </c>
      <c r="Z5" s="3">
        <f>'P&amp;L'!Z12</f>
        <v>9000</v>
      </c>
      <c r="AA5" s="3">
        <f>'P&amp;L'!AA12</f>
        <v>9000</v>
      </c>
      <c r="AB5" s="3">
        <f>'P&amp;L'!AB12</f>
        <v>9000</v>
      </c>
      <c r="AC5" s="3">
        <f>'P&amp;L'!AC12</f>
        <v>9000</v>
      </c>
      <c r="AD5" s="3">
        <f>'P&amp;L'!AD12</f>
        <v>9000</v>
      </c>
      <c r="AE5" s="3">
        <f>'P&amp;L'!AE12</f>
        <v>9000</v>
      </c>
      <c r="AF5" s="3">
        <f>'P&amp;L'!AF12</f>
        <v>9000</v>
      </c>
      <c r="AG5" s="3">
        <f>'P&amp;L'!AG12</f>
        <v>9000</v>
      </c>
      <c r="AH5" s="3">
        <f>'P&amp;L'!AH12</f>
        <v>9000</v>
      </c>
      <c r="AI5" s="3">
        <f>'P&amp;L'!AI12</f>
        <v>9000</v>
      </c>
      <c r="AJ5" s="3">
        <f>'P&amp;L'!AJ12</f>
        <v>9000</v>
      </c>
      <c r="AK5" s="3">
        <f>'P&amp;L'!AK12</f>
        <v>9000</v>
      </c>
    </row>
    <row r="6" spans="1:37">
      <c r="A6" t="s">
        <v>54</v>
      </c>
      <c r="B6" s="3">
        <f>-('Balance Sheet'!B5-Inputs!$B$18)</f>
        <v>-10256</v>
      </c>
      <c r="C6" s="3">
        <f>-('Balance Sheet'!C5-'Balance Sheet'!B5)</f>
        <v>-4408</v>
      </c>
      <c r="D6" s="3">
        <f>-('Balance Sheet'!D5-'Balance Sheet'!C5)</f>
        <v>-2489</v>
      </c>
      <c r="E6" s="3">
        <f>-('Balance Sheet'!E5-'Balance Sheet'!D5)</f>
        <v>-7697</v>
      </c>
      <c r="F6" s="3">
        <f>-('Balance Sheet'!F5-'Balance Sheet'!E5)</f>
        <v>-4372</v>
      </c>
      <c r="G6" s="3">
        <f>-('Balance Sheet'!G5-'Balance Sheet'!F5)</f>
        <v>-7512</v>
      </c>
      <c r="H6" s="3">
        <f>-('Balance Sheet'!H5-'Balance Sheet'!G5)</f>
        <v>-2309</v>
      </c>
      <c r="I6" s="3">
        <f>-('Balance Sheet'!I5-'Balance Sheet'!H5)</f>
        <v>-5070</v>
      </c>
      <c r="J6" s="3">
        <f>-('Balance Sheet'!J5-'Balance Sheet'!I5)</f>
        <v>-6930.8000000000175</v>
      </c>
      <c r="K6" s="3">
        <f>-('Balance Sheet'!K5-'Balance Sheet'!J5)</f>
        <v>-5813.595000000001</v>
      </c>
      <c r="L6" s="3">
        <f>-('Balance Sheet'!L5-'Balance Sheet'!K5)</f>
        <v>-5958.934875000006</v>
      </c>
      <c r="M6" s="3">
        <f>-('Balance Sheet'!M5-'Balance Sheet'!L5)</f>
        <v>-6107.908246874984</v>
      </c>
      <c r="N6" s="3">
        <f>-('Balance Sheet'!N5-'Balance Sheet'!M5)</f>
        <v>-24228.5450382914</v>
      </c>
      <c r="O6" s="3">
        <f>-('Balance Sheet'!O5-'Balance Sheet'!N5)</f>
        <v>11550.817983371497</v>
      </c>
      <c r="P6" s="3">
        <f>-('Balance Sheet'!P5-'Balance Sheet'!O5)</f>
        <v>-6577.549129419844</v>
      </c>
      <c r="Q6" s="3">
        <f>-('Balance Sheet'!Q5-'Balance Sheet'!P5)</f>
        <v>-6741.987857655389</v>
      </c>
      <c r="R6" s="3">
        <f>-('Balance Sheet'!R5-'Balance Sheet'!Q5)</f>
        <v>-6910.537554096722</v>
      </c>
      <c r="S6" s="3">
        <f>-('Balance Sheet'!S5-'Balance Sheet'!R5)</f>
        <v>-7083.3009929492255</v>
      </c>
      <c r="T6" s="3">
        <f>-('Balance Sheet'!T5-'Balance Sheet'!S5)</f>
        <v>-7260.383517772891</v>
      </c>
      <c r="U6" s="3">
        <f>-('Balance Sheet'!U5-'Balance Sheet'!T5)</f>
        <v>-7441.893105717201</v>
      </c>
      <c r="V6" s="3">
        <f>-('Balance Sheet'!V5-'Balance Sheet'!U5)</f>
        <v>-7627.940433360171</v>
      </c>
      <c r="W6" s="3">
        <f>-('Balance Sheet'!W5-'Balance Sheet'!V5)</f>
        <v>-7818.6389441941865</v>
      </c>
      <c r="X6" s="3">
        <f>-('Balance Sheet'!X5-'Balance Sheet'!W5)</f>
        <v>0.0</v>
      </c>
      <c r="Y6" s="3">
        <f>-('Balance Sheet'!Y5-'Balance Sheet'!X5)</f>
        <v>-8014.104917799006</v>
      </c>
      <c r="Z6" s="3">
        <f>-('Balance Sheet'!Z5-'Balance Sheet'!Y5)</f>
        <v>-8214.457540744042</v>
      </c>
      <c r="AA6" s="3">
        <f>-('Balance Sheet'!AA5-'Balance Sheet'!Z5)</f>
        <v>-8419.818979262607</v>
      </c>
      <c r="AB6" s="3">
        <f>-('Balance Sheet'!AB5-'Balance Sheet'!AA5)</f>
        <v>-8630.314453744155</v>
      </c>
      <c r="AC6" s="3">
        <f>-('Balance Sheet'!AC5-'Balance Sheet'!AB5)</f>
        <v>-8846.072315087775</v>
      </c>
      <c r="AD6" s="3">
        <f>-('Balance Sheet'!AD5-'Balance Sheet'!AC5)</f>
        <v>-9067.224122964952</v>
      </c>
      <c r="AE6" s="3">
        <f>-('Balance Sheet'!AE5-'Balance Sheet'!AD5)</f>
        <v>-9293.904726039094</v>
      </c>
      <c r="AF6" s="3">
        <f>-('Balance Sheet'!AF5-'Balance Sheet'!AE5)</f>
        <v>0.0</v>
      </c>
      <c r="AG6" s="3">
        <f>-('Balance Sheet'!AG5-'Balance Sheet'!AF5)</f>
        <v>-19290.660996984923</v>
      </c>
      <c r="AH6" s="3">
        <f>-('Balance Sheet'!AH5-'Balance Sheet'!AG5)</f>
        <v>-10008.51886911469</v>
      </c>
      <c r="AI6" s="3">
        <f>-('Balance Sheet'!AI5-'Balance Sheet'!AH5)</f>
        <v>-10258.731840842578</v>
      </c>
      <c r="AJ6" s="3">
        <f>-('Balance Sheet'!AJ5-'Balance Sheet'!AI5)</f>
        <v>-10515.200136863627</v>
      </c>
      <c r="AK6" s="3">
        <f>-('Balance Sheet'!AK5-'Balance Sheet'!AJ5)</f>
        <v>-10778.080140285194</v>
      </c>
    </row>
    <row r="7" spans="1:37">
      <c r="A7" t="s">
        <v>55</v>
      </c>
      <c r="B7" s="3">
        <f>'Balance Sheet'!B9-Inputs!$B$20</f>
        <v>152565.0</v>
      </c>
      <c r="C7" s="3">
        <f>'Balance Sheet'!C9-'Balance Sheet'!B9</f>
        <v>16226.5</v>
      </c>
      <c r="D7" s="3">
        <f>'Balance Sheet'!D9-'Balance Sheet'!C9</f>
        <v>12030.5</v>
      </c>
      <c r="E7" s="3">
        <f>'Balance Sheet'!E9-'Balance Sheet'!D9</f>
        <v>-7784.0</v>
      </c>
      <c r="F7" s="3">
        <f>'Balance Sheet'!F9-'Balance Sheet'!E9</f>
        <v>12248.5</v>
      </c>
      <c r="G7" s="3">
        <f>'Balance Sheet'!G9-'Balance Sheet'!F9</f>
        <v>19771.0</v>
      </c>
      <c r="H7" s="3">
        <f>'Balance Sheet'!H9-'Balance Sheet'!G9</f>
        <v>-10954.5</v>
      </c>
      <c r="I7" s="3">
        <f>'Balance Sheet'!I9-'Balance Sheet'!H9</f>
        <v>13759.0</v>
      </c>
      <c r="J7" s="3">
        <f>'Balance Sheet'!J9-'Balance Sheet'!I9</f>
        <v>8867.338000000047</v>
      </c>
      <c r="K7" s="3">
        <f>'Balance Sheet'!K9-'Balance Sheet'!J9</f>
        <v>1546.9834499999997</v>
      </c>
      <c r="L7" s="3">
        <f>'Balance Sheet'!L9-'Balance Sheet'!K9</f>
        <v>8460.658036249923</v>
      </c>
      <c r="M7" s="3">
        <f>'Balance Sheet'!M9-'Balance Sheet'!L9</f>
        <v>6625.29948715627</v>
      </c>
      <c r="N7" s="3">
        <f>'Balance Sheet'!N9-'Balance Sheet'!M9</f>
        <v>3642.4052737120655</v>
      </c>
      <c r="O7" s="3">
        <f>'Balance Sheet'!O9-'Balance Sheet'!N9</f>
        <v>6606.1069743166445</v>
      </c>
      <c r="P7" s="3">
        <f>'Balance Sheet'!P9-'Balance Sheet'!O9</f>
        <v>11350.269780535891</v>
      </c>
      <c r="Q7" s="3">
        <f>'Balance Sheet'!Q9-'Balance Sheet'!P9</f>
        <v>8669.026525049238</v>
      </c>
      <c r="R7" s="3">
        <f>'Balance Sheet'!R9-'Balance Sheet'!Q9</f>
        <v>1838.8771881755092</v>
      </c>
      <c r="S7" s="3">
        <f>'Balance Sheet'!S9-'Balance Sheet'!R9</f>
        <v>13759.849117879872</v>
      </c>
      <c r="T7" s="3">
        <f>'Balance Sheet'!T9-'Balance Sheet'!S9</f>
        <v>1931.9703458268777</v>
      </c>
      <c r="U7" s="3">
        <f>'Balance Sheet'!U9-'Balance Sheet'!T9</f>
        <v>13855.269604472618</v>
      </c>
      <c r="V7" s="3">
        <f>'Balance Sheet'!V9-'Balance Sheet'!U9</f>
        <v>2029.7763445843011</v>
      </c>
      <c r="W7" s="3">
        <f>'Balance Sheet'!W9-'Balance Sheet'!V9</f>
        <v>8955.520753199002</v>
      </c>
      <c r="X7" s="3">
        <f>'Balance Sheet'!X9-'Balance Sheet'!W9</f>
        <v>-21205.437440124922</v>
      </c>
      <c r="Y7" s="3">
        <f>'Balance Sheet'!Y9-'Balance Sheet'!X9</f>
        <v>39812.971212153905</v>
      </c>
      <c r="Z7" s="3">
        <f>'Balance Sheet'!Z9-'Balance Sheet'!Y9</f>
        <v>2185.847116329707</v>
      </c>
      <c r="AA7" s="3">
        <f>'Balance Sheet'!AA9-'Balance Sheet'!Z9</f>
        <v>7240.493294237938</v>
      </c>
      <c r="AB7" s="3">
        <f>'Balance Sheet'!AB9-'Balance Sheet'!AA9</f>
        <v>-9828.494373406109</v>
      </c>
      <c r="AC7" s="3">
        <f>'Balance Sheet'!AC9-'Balance Sheet'!AB9</f>
        <v>21353.918267258676</v>
      </c>
      <c r="AD7" s="3">
        <f>'Balance Sheet'!AD9-'Balance Sheet'!AC9</f>
        <v>14287.766223940183</v>
      </c>
      <c r="AE7" s="3">
        <f>'Balance Sheet'!AE9-'Balance Sheet'!AD9</f>
        <v>2473.08537953865</v>
      </c>
      <c r="AF7" s="3">
        <f>'Balance Sheet'!AF9-'Balance Sheet'!AE9</f>
        <v>9409.912514027208</v>
      </c>
      <c r="AG7" s="3">
        <f>'Balance Sheet'!AG9-'Balance Sheet'!AF9</f>
        <v>12198.285326877842</v>
      </c>
      <c r="AH7" s="3">
        <f>'Balance Sheet'!AH9-'Balance Sheet'!AG9</f>
        <v>9538.242460049805</v>
      </c>
      <c r="AI7" s="3">
        <f>'Balance Sheet'!AI9-'Balance Sheet'!AH9</f>
        <v>2729.823521551036</v>
      </c>
      <c r="AJ7" s="3">
        <f>'Balance Sheet'!AJ9-'Balance Sheet'!AI9</f>
        <v>14673.069109589793</v>
      </c>
      <c r="AK7" s="3">
        <f>'Balance Sheet'!AK9-'Balance Sheet'!AJ9</f>
        <v>2868.020837329561</v>
      </c>
    </row>
    <row r="8" spans="1:37">
      <c r="A8" t="s">
        <v>56</v>
      </c>
      <c r="B8" s="8">
        <f>SUM(B4:B7)</f>
        <v>-167065.0</v>
      </c>
      <c r="C8" s="8">
        <f>SUM(C4:C7)</f>
        <v>-325600.5</v>
      </c>
      <c r="D8" s="8">
        <f>SUM(D4:D7)</f>
        <v>-349449.5</v>
      </c>
      <c r="E8" s="8">
        <f>SUM(E4:E7)</f>
        <v>-351207.0</v>
      </c>
      <c r="F8" s="8">
        <f>SUM(F4:F7)</f>
        <v>-347974.5</v>
      </c>
      <c r="G8" s="8">
        <f>SUM(G4:G7)</f>
        <v>-375622.0</v>
      </c>
      <c r="H8" s="8">
        <f>SUM(H4:H7)</f>
        <v>-376926.5</v>
      </c>
      <c r="I8" s="8">
        <f>SUM(I4:I7)</f>
        <v>-377422.0</v>
      </c>
      <c r="J8" s="8">
        <f>SUM(J4:J7)</f>
        <v>-394978.33800000005</v>
      </c>
      <c r="K8" s="8">
        <f>SUM(K4:K7)</f>
        <v>-398461.85945000005</v>
      </c>
      <c r="L8" s="8">
        <f>SUM(L4:L7)</f>
        <v>-402655.90593625</v>
      </c>
      <c r="M8" s="8">
        <f>SUM(M4:M7)</f>
        <v>-411782.92858465615</v>
      </c>
      <c r="N8" s="8">
        <f>SUM(N4:N7)</f>
        <v>-415942.72509864945</v>
      </c>
      <c r="O8" s="8">
        <f>SUM(O4:O7)</f>
        <v>-401962.6923083868</v>
      </c>
      <c r="P8" s="8">
        <f>SUM(P4:P7)</f>
        <v>-431469.8870466109</v>
      </c>
      <c r="Q8" s="8">
        <f>SUM(Q4:Q7)</f>
        <v>-444911.63422277616</v>
      </c>
      <c r="R8" s="8">
        <f>SUM(R4:R7)</f>
        <v>-448677.5500783455</v>
      </c>
      <c r="S8" s="8">
        <f>SUM(S4:S7)</f>
        <v>-457365.7388303042</v>
      </c>
      <c r="T8" s="8">
        <f>SUM(T4:T7)</f>
        <v>-465974.2573010617</v>
      </c>
      <c r="U8" s="8">
        <f>SUM(U4:U7)</f>
        <v>-474501.11373358825</v>
      </c>
      <c r="V8" s="8">
        <f>SUM(V4:V7)</f>
        <v>-482944.2665769281</v>
      </c>
      <c r="W8" s="8">
        <f>SUM(W4:W7)</f>
        <v>-486301.6232413511</v>
      </c>
      <c r="X8" s="8">
        <f>SUM(X4:X7)</f>
        <v>-466233.067610231</v>
      </c>
      <c r="Y8" s="8">
        <f>SUM(Y4:Y7)</f>
        <v>-484840.60138226</v>
      </c>
      <c r="Z8" s="8">
        <f>SUM(Z4:Z7)</f>
        <v>-518825.3147929446</v>
      </c>
      <c r="AA8" s="8">
        <f>SUM(AA4:AA7)</f>
        <v>-520037.1976627681</v>
      </c>
      <c r="AB8" s="8">
        <f>SUM(AB4:AB7)</f>
        <v>-509029.3776043374</v>
      </c>
      <c r="AC8" s="8">
        <f>SUM(AC4:AC7)</f>
        <v>-511924.48704444594</v>
      </c>
      <c r="AD8" s="8">
        <f>SUM(AD4:AD7)</f>
        <v>-538720.099220557</v>
      </c>
      <c r="AE8" s="8">
        <f>SUM(AE4:AE7)</f>
        <v>-546413.726701071</v>
      </c>
      <c r="AF8" s="8">
        <f>SUM(AF4:AF7)</f>
        <v>-539476.5675244075</v>
      </c>
      <c r="AG8" s="8">
        <f>SUM(AG4:AG7)</f>
        <v>-570611.0177095027</v>
      </c>
      <c r="AH8" s="8">
        <f>SUM(AH4:AH7)</f>
        <v>-573056.8844994453</v>
      </c>
      <c r="AI8" s="8">
        <f>SUM(AI4:AI7)</f>
        <v>-575316.4316119316</v>
      </c>
      <c r="AJ8" s="8">
        <f>SUM(AJ4:AJ7)</f>
        <v>-582460.5924022298</v>
      </c>
      <c r="AK8" s="8">
        <f>SUM(AK4:AK7)</f>
        <v>-589486.4822122855</v>
      </c>
    </row>
    <row r="9" spans="1:37">
      <c r="A9" t="s">
        <v>57</v>
      </c>
      <c r="B9" s="3">
        <f>-Inputs!$B$11</f>
        <v>-12000</v>
      </c>
      <c r="C9" s="3">
        <f>-Inputs!$B$11</f>
        <v>-12000</v>
      </c>
      <c r="D9" s="3">
        <f>-Inputs!$B$11</f>
        <v>-12000</v>
      </c>
      <c r="E9" s="3">
        <f>-Inputs!$B$11</f>
        <v>-12000</v>
      </c>
      <c r="F9" s="3">
        <f>-Inputs!$B$11</f>
        <v>-12000</v>
      </c>
      <c r="G9" s="3">
        <f>-Inputs!$B$11</f>
        <v>-12000</v>
      </c>
      <c r="H9" s="3">
        <f>-Inputs!$B$11</f>
        <v>-12000</v>
      </c>
      <c r="I9" s="3">
        <f>-Inputs!$B$11</f>
        <v>-12000</v>
      </c>
      <c r="J9" s="3">
        <f>-Inputs!$B$11</f>
        <v>-12000</v>
      </c>
      <c r="K9" s="3">
        <f>-Inputs!$B$11</f>
        <v>-12000</v>
      </c>
      <c r="L9" s="3">
        <f>-Inputs!$B$11</f>
        <v>-12000</v>
      </c>
      <c r="M9" s="3">
        <f>-Inputs!$B$11</f>
        <v>-12000</v>
      </c>
      <c r="N9" s="3">
        <f>-Inputs!$B$11</f>
        <v>-12000</v>
      </c>
      <c r="O9" s="3">
        <f>-Inputs!$B$11</f>
        <v>-12000</v>
      </c>
      <c r="P9" s="3">
        <f>-Inputs!$B$11</f>
        <v>-12000</v>
      </c>
      <c r="Q9" s="3">
        <f>-Inputs!$B$11</f>
        <v>-12000</v>
      </c>
      <c r="R9" s="3">
        <f>-Inputs!$B$11</f>
        <v>-12000</v>
      </c>
      <c r="S9" s="3">
        <f>-Inputs!$B$11</f>
        <v>-12000</v>
      </c>
      <c r="T9" s="3">
        <f>-Inputs!$B$11</f>
        <v>-12000</v>
      </c>
      <c r="U9" s="3">
        <f>-Inputs!$B$11</f>
        <v>-12000</v>
      </c>
      <c r="V9" s="3">
        <f>-Inputs!$B$11</f>
        <v>-12000</v>
      </c>
      <c r="W9" s="3">
        <f>-Inputs!$B$11</f>
        <v>-12000</v>
      </c>
      <c r="X9" s="3">
        <f>-Inputs!$B$11</f>
        <v>-12000</v>
      </c>
      <c r="Y9" s="3">
        <f>-Inputs!$B$11</f>
        <v>-12000</v>
      </c>
      <c r="Z9" s="3">
        <f>-Inputs!$B$11</f>
        <v>-12000</v>
      </c>
      <c r="AA9" s="3">
        <f>-Inputs!$B$11</f>
        <v>-12000</v>
      </c>
      <c r="AB9" s="3">
        <f>-Inputs!$B$11</f>
        <v>-12000</v>
      </c>
      <c r="AC9" s="3">
        <f>-Inputs!$B$11</f>
        <v>-12000</v>
      </c>
      <c r="AD9" s="3">
        <f>-Inputs!$B$11</f>
        <v>-12000</v>
      </c>
      <c r="AE9" s="3">
        <f>-Inputs!$B$11</f>
        <v>-12000</v>
      </c>
      <c r="AF9" s="3">
        <f>-Inputs!$B$11</f>
        <v>-12000</v>
      </c>
      <c r="AG9" s="3">
        <f>-Inputs!$B$11</f>
        <v>-12000</v>
      </c>
      <c r="AH9" s="3">
        <f>-Inputs!$B$11</f>
        <v>-12000</v>
      </c>
      <c r="AI9" s="3">
        <f>-Inputs!$B$11</f>
        <v>-12000</v>
      </c>
      <c r="AJ9" s="3">
        <f>-Inputs!$B$11</f>
        <v>-12000</v>
      </c>
      <c r="AK9" s="3">
        <f>-Inputs!$B$11</f>
        <v>-12000</v>
      </c>
    </row>
    <row r="10" spans="1:37">
      <c r="A10" t="s">
        <v>58</v>
      </c>
      <c r="B10" s="3">
        <f>B9</f>
        <v>-12000</v>
      </c>
      <c r="C10" s="3">
        <f>C9</f>
        <v>-12000</v>
      </c>
      <c r="D10" s="3">
        <f>D9</f>
        <v>-12000</v>
      </c>
      <c r="E10" s="3">
        <f>E9</f>
        <v>-12000</v>
      </c>
      <c r="F10" s="3">
        <f>F9</f>
        <v>-12000</v>
      </c>
      <c r="G10" s="3">
        <f>G9</f>
        <v>-12000</v>
      </c>
      <c r="H10" s="3">
        <f>H9</f>
        <v>-12000</v>
      </c>
      <c r="I10" s="3">
        <f>I9</f>
        <v>-12000</v>
      </c>
      <c r="J10" s="3">
        <f>J9</f>
        <v>-12000</v>
      </c>
      <c r="K10" s="3">
        <f>K9</f>
        <v>-12000</v>
      </c>
      <c r="L10" s="3">
        <f>L9</f>
        <v>-12000</v>
      </c>
      <c r="M10" s="3">
        <f>M9</f>
        <v>-12000</v>
      </c>
      <c r="N10" s="3">
        <f>N9</f>
        <v>-12000</v>
      </c>
      <c r="O10" s="3">
        <f>O9</f>
        <v>-12000</v>
      </c>
      <c r="P10" s="3">
        <f>P9</f>
        <v>-12000</v>
      </c>
      <c r="Q10" s="3">
        <f>Q9</f>
        <v>-12000</v>
      </c>
      <c r="R10" s="3">
        <f>R9</f>
        <v>-12000</v>
      </c>
      <c r="S10" s="3">
        <f>S9</f>
        <v>-12000</v>
      </c>
      <c r="T10" s="3">
        <f>T9</f>
        <v>-12000</v>
      </c>
      <c r="U10" s="3">
        <f>U9</f>
        <v>-12000</v>
      </c>
      <c r="V10" s="3">
        <f>V9</f>
        <v>-12000</v>
      </c>
      <c r="W10" s="3">
        <f>W9</f>
        <v>-12000</v>
      </c>
      <c r="X10" s="3">
        <f>X9</f>
        <v>-12000</v>
      </c>
      <c r="Y10" s="3">
        <f>Y9</f>
        <v>-12000</v>
      </c>
      <c r="Z10" s="3">
        <f>Z9</f>
        <v>-12000</v>
      </c>
      <c r="AA10" s="3">
        <f>AA9</f>
        <v>-12000</v>
      </c>
      <c r="AB10" s="3">
        <f>AB9</f>
        <v>-12000</v>
      </c>
      <c r="AC10" s="3">
        <f>AC9</f>
        <v>-12000</v>
      </c>
      <c r="AD10" s="3">
        <f>AD9</f>
        <v>-12000</v>
      </c>
      <c r="AE10" s="3">
        <f>AE9</f>
        <v>-12000</v>
      </c>
      <c r="AF10" s="3">
        <f>AF9</f>
        <v>-12000</v>
      </c>
      <c r="AG10" s="3">
        <f>AG9</f>
        <v>-12000</v>
      </c>
      <c r="AH10" s="3">
        <f>AH9</f>
        <v>-12000</v>
      </c>
      <c r="AI10" s="3">
        <f>AI9</f>
        <v>-12000</v>
      </c>
      <c r="AJ10" s="3">
        <f>AJ9</f>
        <v>-12000</v>
      </c>
      <c r="AK10" s="3">
        <f>AK9</f>
        <v>-12000</v>
      </c>
    </row>
    <row r="11" spans="1:37">
      <c r="A11" t="s">
        <v>59</v>
      </c>
      <c r="B11" s="3">
        <v>0</v>
      </c>
      <c r="C11" s="3">
        <v>0</v>
      </c>
      <c r="D11" s="3">
        <v>0</v>
      </c>
      <c r="E11" s="3">
        <v>0</v>
      </c>
      <c r="F11" s="3">
        <v>0</v>
      </c>
      <c r="G11" s="3">
        <v>0</v>
      </c>
      <c r="H11" s="3">
        <v>0</v>
      </c>
      <c r="I11" s="3">
        <v>0</v>
      </c>
      <c r="J11" s="3">
        <v>0</v>
      </c>
      <c r="K11" s="3">
        <v>0</v>
      </c>
      <c r="L11" s="3">
        <v>0</v>
      </c>
      <c r="M11" s="3">
        <v>0</v>
      </c>
      <c r="N11" s="3">
        <v>0</v>
      </c>
      <c r="O11" s="3">
        <v>0</v>
      </c>
      <c r="P11" s="3">
        <v>15000000</v>
      </c>
      <c r="Q11" s="3">
        <v>0</v>
      </c>
      <c r="R11" s="3">
        <v>0</v>
      </c>
      <c r="S11" s="3">
        <v>0</v>
      </c>
      <c r="T11" s="3">
        <v>0</v>
      </c>
      <c r="U11" s="3">
        <v>0</v>
      </c>
      <c r="V11" s="3">
        <v>0</v>
      </c>
      <c r="W11" s="3">
        <v>0</v>
      </c>
      <c r="X11" s="3">
        <v>0</v>
      </c>
      <c r="Y11" s="3">
        <v>0</v>
      </c>
      <c r="Z11" s="3">
        <v>0</v>
      </c>
      <c r="AA11" s="3">
        <v>0</v>
      </c>
      <c r="AB11" s="3">
        <v>0</v>
      </c>
      <c r="AC11" s="3">
        <v>0</v>
      </c>
      <c r="AD11" s="3">
        <v>0</v>
      </c>
      <c r="AE11" s="3">
        <v>0</v>
      </c>
      <c r="AF11" s="3">
        <v>0</v>
      </c>
      <c r="AG11" s="3">
        <v>0</v>
      </c>
      <c r="AH11" s="3">
        <v>0</v>
      </c>
      <c r="AI11" s="3">
        <v>0</v>
      </c>
      <c r="AJ11" s="3">
        <v>0</v>
      </c>
      <c r="AK11" s="3">
        <v>0</v>
      </c>
    </row>
    <row r="12" spans="1:37">
      <c r="A12" t="s">
        <v>60</v>
      </c>
      <c r="B12" s="3">
        <f>B11</f>
        <v>0</v>
      </c>
      <c r="C12" s="3">
        <f>C11</f>
        <v>0</v>
      </c>
      <c r="D12" s="3">
        <f>D11</f>
        <v>0</v>
      </c>
      <c r="E12" s="3">
        <f>E11</f>
        <v>0</v>
      </c>
      <c r="F12" s="3">
        <f>F11</f>
        <v>0</v>
      </c>
      <c r="G12" s="3">
        <f>G11</f>
        <v>0</v>
      </c>
      <c r="H12" s="3">
        <f>H11</f>
        <v>0</v>
      </c>
      <c r="I12" s="3">
        <f>I11</f>
        <v>0</v>
      </c>
      <c r="J12" s="3">
        <f>J11</f>
        <v>0</v>
      </c>
      <c r="K12" s="3">
        <f>K11</f>
        <v>0</v>
      </c>
      <c r="L12" s="3">
        <f>L11</f>
        <v>0</v>
      </c>
      <c r="M12" s="3">
        <f>M11</f>
        <v>0</v>
      </c>
      <c r="N12" s="3">
        <f>N11</f>
        <v>0</v>
      </c>
      <c r="O12" s="3">
        <f>O11</f>
        <v>0</v>
      </c>
      <c r="P12" s="3">
        <f>P11</f>
        <v>15000000</v>
      </c>
      <c r="Q12" s="3">
        <f>Q11</f>
        <v>0</v>
      </c>
      <c r="R12" s="3">
        <f>R11</f>
        <v>0</v>
      </c>
      <c r="S12" s="3">
        <f>S11</f>
        <v>0</v>
      </c>
      <c r="T12" s="3">
        <f>T11</f>
        <v>0</v>
      </c>
      <c r="U12" s="3">
        <f>U11</f>
        <v>0</v>
      </c>
      <c r="V12" s="3">
        <f>V11</f>
        <v>0</v>
      </c>
      <c r="W12" s="3">
        <f>W11</f>
        <v>0</v>
      </c>
      <c r="X12" s="3">
        <f>X11</f>
        <v>0</v>
      </c>
      <c r="Y12" s="3">
        <f>Y11</f>
        <v>0</v>
      </c>
      <c r="Z12" s="3">
        <f>Z11</f>
        <v>0</v>
      </c>
      <c r="AA12" s="3">
        <f>AA11</f>
        <v>0</v>
      </c>
      <c r="AB12" s="3">
        <f>AB11</f>
        <v>0</v>
      </c>
      <c r="AC12" s="3">
        <f>AC11</f>
        <v>0</v>
      </c>
      <c r="AD12" s="3">
        <f>AD11</f>
        <v>0</v>
      </c>
      <c r="AE12" s="3">
        <f>AE11</f>
        <v>0</v>
      </c>
      <c r="AF12" s="3">
        <f>AF11</f>
        <v>0</v>
      </c>
      <c r="AG12" s="3">
        <f>AG11</f>
        <v>0</v>
      </c>
      <c r="AH12" s="3">
        <f>AH11</f>
        <v>0</v>
      </c>
      <c r="AI12" s="3">
        <f>AI11</f>
        <v>0</v>
      </c>
      <c r="AJ12" s="3">
        <f>AJ11</f>
        <v>0</v>
      </c>
      <c r="AK12" s="3">
        <f>AK11</f>
        <v>0</v>
      </c>
    </row>
    <row r="13" spans="1:37">
      <c r="A13" t="s">
        <v>61</v>
      </c>
      <c r="B13" s="8">
        <f>B8+B10+B12</f>
        <v>-179065.0</v>
      </c>
      <c r="C13" s="8">
        <f>C8+C10+C12</f>
        <v>-337600.5</v>
      </c>
      <c r="D13" s="8">
        <f>D8+D10+D12</f>
        <v>-361449.5</v>
      </c>
      <c r="E13" s="8">
        <f>E8+E10+E12</f>
        <v>-363207.0</v>
      </c>
      <c r="F13" s="8">
        <f>F8+F10+F12</f>
        <v>-359974.5</v>
      </c>
      <c r="G13" s="8">
        <f>G8+G10+G12</f>
        <v>-387622.0</v>
      </c>
      <c r="H13" s="8">
        <f>H8+H10+H12</f>
        <v>-388926.5</v>
      </c>
      <c r="I13" s="8">
        <f>I8+I10+I12</f>
        <v>-389422.0</v>
      </c>
      <c r="J13" s="8">
        <f>J8+J10+J12</f>
        <v>-406978.33800000005</v>
      </c>
      <c r="K13" s="8">
        <f>K8+K10+K12</f>
        <v>-410461.85945000005</v>
      </c>
      <c r="L13" s="8">
        <f>L8+L10+L12</f>
        <v>-414655.90593625</v>
      </c>
      <c r="M13" s="8">
        <f>M8+M10+M12</f>
        <v>-423782.92858465615</v>
      </c>
      <c r="N13" s="8">
        <f>N8+N10+N12</f>
        <v>-427942.72509864945</v>
      </c>
      <c r="O13" s="8">
        <f>O8+O10+O12</f>
        <v>-413962.6923083868</v>
      </c>
      <c r="P13" s="8">
        <f>P8+P10+P12</f>
        <v>14556530.112953389</v>
      </c>
      <c r="Q13" s="8">
        <f>Q8+Q10+Q12</f>
        <v>-456911.63422277616</v>
      </c>
      <c r="R13" s="8">
        <f>R8+R10+R12</f>
        <v>-460677.5500783455</v>
      </c>
      <c r="S13" s="8">
        <f>S8+S10+S12</f>
        <v>-469365.7388303042</v>
      </c>
      <c r="T13" s="8">
        <f>T8+T10+T12</f>
        <v>-477974.2573010617</v>
      </c>
      <c r="U13" s="8">
        <f>U8+U10+U12</f>
        <v>-486501.11373358825</v>
      </c>
      <c r="V13" s="8">
        <f>V8+V10+V12</f>
        <v>-494944.2665769281</v>
      </c>
      <c r="W13" s="8">
        <f>W8+W10+W12</f>
        <v>-498301.6232413511</v>
      </c>
      <c r="X13" s="8">
        <f>X8+X10+X12</f>
        <v>-478233.067610231</v>
      </c>
      <c r="Y13" s="8">
        <f>Y8+Y10+Y12</f>
        <v>-496840.60138226</v>
      </c>
      <c r="Z13" s="8">
        <f>Z8+Z10+Z12</f>
        <v>-530825.3147929446</v>
      </c>
      <c r="AA13" s="8">
        <f>AA8+AA10+AA12</f>
        <v>-532037.1976627682</v>
      </c>
      <c r="AB13" s="8">
        <f>AB8+AB10+AB12</f>
        <v>-521029.3776043374</v>
      </c>
      <c r="AC13" s="8">
        <f>AC8+AC10+AC12</f>
        <v>-523924.48704444594</v>
      </c>
      <c r="AD13" s="8">
        <f>AD8+AD10+AD12</f>
        <v>-550720.099220557</v>
      </c>
      <c r="AE13" s="8">
        <f>AE8+AE10+AE12</f>
        <v>-558413.726701071</v>
      </c>
      <c r="AF13" s="8">
        <f>AF8+AF10+AF12</f>
        <v>-551476.5675244075</v>
      </c>
      <c r="AG13" s="8">
        <f>AG8+AG10+AG12</f>
        <v>-582611.0177095027</v>
      </c>
      <c r="AH13" s="8">
        <f>AH8+AH10+AH12</f>
        <v>-585056.8844994453</v>
      </c>
      <c r="AI13" s="8">
        <f>AI8+AI10+AI12</f>
        <v>-587316.4316119316</v>
      </c>
      <c r="AJ13" s="8">
        <f>AJ8+AJ10+AJ12</f>
        <v>-594460.5924022298</v>
      </c>
      <c r="AK13" s="8">
        <f>AK8+AK10+AK12</f>
        <v>-601486.4822122855</v>
      </c>
    </row>
    <row r="14" spans="1:37">
      <c r="A14" t="s">
        <v>62</v>
      </c>
      <c r="B14" s="3">
        <f>Inputs!$B$17</f>
        <v>6200000</v>
      </c>
      <c r="C14" s="3">
        <f>B15</f>
        <v>6020935.0</v>
      </c>
      <c r="D14" s="3">
        <f>C15</f>
        <v>5683334.5</v>
      </c>
      <c r="E14" s="3">
        <f>D15</f>
        <v>5321885.0</v>
      </c>
      <c r="F14" s="3">
        <f>E15</f>
        <v>4958678.0</v>
      </c>
      <c r="G14" s="3">
        <f>F15</f>
        <v>4598703.5</v>
      </c>
      <c r="H14" s="3">
        <f>G15</f>
        <v>4211081.5</v>
      </c>
      <c r="I14" s="3">
        <f>H15</f>
        <v>3822155.0</v>
      </c>
      <c r="J14" s="3">
        <f>I15</f>
        <v>3432733.0</v>
      </c>
      <c r="K14" s="3">
        <f>J15</f>
        <v>3025754.662</v>
      </c>
      <c r="L14" s="3">
        <f>K15</f>
        <v>2615292.80255</v>
      </c>
      <c r="M14" s="3">
        <f>L15</f>
        <v>2200636.89661375</v>
      </c>
      <c r="N14" s="3">
        <f>M15</f>
        <v>1776853.968029094</v>
      </c>
      <c r="O14" s="3">
        <f>N15</f>
        <v>1348911.2429304444</v>
      </c>
      <c r="P14" s="3">
        <f>O15</f>
        <v>934948.5506220576</v>
      </c>
      <c r="Q14" s="3">
        <f>P15</f>
        <v>15491478.663575446</v>
      </c>
      <c r="R14" s="3">
        <f>Q15</f>
        <v>15034567.02935267</v>
      </c>
      <c r="S14" s="3">
        <f>R15</f>
        <v>14573889.479274325</v>
      </c>
      <c r="T14" s="3">
        <f>S15</f>
        <v>14104523.740444021</v>
      </c>
      <c r="U14" s="3">
        <f>T15</f>
        <v>13626549.483142959</v>
      </c>
      <c r="V14" s="3">
        <f>U15</f>
        <v>13140048.369409371</v>
      </c>
      <c r="W14" s="3">
        <f>V15</f>
        <v>12645104.102832444</v>
      </c>
      <c r="X14" s="3">
        <f>W15</f>
        <v>12146802.479591092</v>
      </c>
      <c r="Y14" s="3">
        <f>X15</f>
        <v>11668569.411980862</v>
      </c>
      <c r="Z14" s="3">
        <f>Y15</f>
        <v>11171728.810598603</v>
      </c>
      <c r="AA14" s="3">
        <f>Z15</f>
        <v>10640903.495805658</v>
      </c>
      <c r="AB14" s="3">
        <f>AA15</f>
        <v>10108866.29814289</v>
      </c>
      <c r="AC14" s="3">
        <f>AB15</f>
        <v>9587836.920538552</v>
      </c>
      <c r="AD14" s="3">
        <f>AC15</f>
        <v>9063912.433494106</v>
      </c>
      <c r="AE14" s="3">
        <f>AD15</f>
        <v>8513192.334273549</v>
      </c>
      <c r="AF14" s="3">
        <f>AE15</f>
        <v>7954778.607572477</v>
      </c>
      <c r="AG14" s="3">
        <f>AF15</f>
        <v>7403302.04004807</v>
      </c>
      <c r="AH14" s="3">
        <f>AG15</f>
        <v>6820691.022338567</v>
      </c>
      <c r="AI14" s="3">
        <f>AH15</f>
        <v>6235634.137839122</v>
      </c>
      <c r="AJ14" s="3">
        <f>AI15</f>
        <v>5648317.70622719</v>
      </c>
      <c r="AK14" s="3">
        <f>AJ15</f>
        <v>5053857.11382496</v>
      </c>
    </row>
    <row r="15" spans="1:37">
      <c r="A15" t="s">
        <v>63</v>
      </c>
      <c r="B15" s="8">
        <f>B14+B13</f>
        <v>6020935.0</v>
      </c>
      <c r="C15" s="8">
        <f>C14+C13</f>
        <v>5683334.5</v>
      </c>
      <c r="D15" s="8">
        <f>D14+D13</f>
        <v>5321885.0</v>
      </c>
      <c r="E15" s="8">
        <f>E14+E13</f>
        <v>4958678.0</v>
      </c>
      <c r="F15" s="8">
        <f>F14+F13</f>
        <v>4598703.5</v>
      </c>
      <c r="G15" s="8">
        <f>G14+G13</f>
        <v>4211081.5</v>
      </c>
      <c r="H15" s="8">
        <f>H14+H13</f>
        <v>3822155.0</v>
      </c>
      <c r="I15" s="8">
        <f>I14+I13</f>
        <v>3432733.0</v>
      </c>
      <c r="J15" s="8">
        <f>J14+J13</f>
        <v>3025754.662</v>
      </c>
      <c r="K15" s="8">
        <f>K14+K13</f>
        <v>2615292.80255</v>
      </c>
      <c r="L15" s="8">
        <f>L14+L13</f>
        <v>2200636.89661375</v>
      </c>
      <c r="M15" s="8">
        <f>M14+M13</f>
        <v>1776853.968029094</v>
      </c>
      <c r="N15" s="8">
        <f>N14+N13</f>
        <v>1348911.2429304444</v>
      </c>
      <c r="O15" s="8">
        <f>O14+O13</f>
        <v>934948.5506220576</v>
      </c>
      <c r="P15" s="8">
        <f>P14+P13</f>
        <v>15491478.663575446</v>
      </c>
      <c r="Q15" s="8">
        <f>Q14+Q13</f>
        <v>15034567.02935267</v>
      </c>
      <c r="R15" s="8">
        <f>R14+R13</f>
        <v>14573889.479274325</v>
      </c>
      <c r="S15" s="8">
        <f>S14+S13</f>
        <v>14104523.740444021</v>
      </c>
      <c r="T15" s="8">
        <f>T14+T13</f>
        <v>13626549.483142959</v>
      </c>
      <c r="U15" s="8">
        <f>U14+U13</f>
        <v>13140048.369409371</v>
      </c>
      <c r="V15" s="8">
        <f>V14+V13</f>
        <v>12645104.102832444</v>
      </c>
      <c r="W15" s="8">
        <f>W14+W13</f>
        <v>12146802.479591092</v>
      </c>
      <c r="X15" s="8">
        <f>X14+X13</f>
        <v>11668569.411980862</v>
      </c>
      <c r="Y15" s="8">
        <f>Y14+Y13</f>
        <v>11171728.810598603</v>
      </c>
      <c r="Z15" s="8">
        <f>Z14+Z13</f>
        <v>10640903.495805658</v>
      </c>
      <c r="AA15" s="8">
        <f>AA14+AA13</f>
        <v>10108866.29814289</v>
      </c>
      <c r="AB15" s="8">
        <f>AB14+AB13</f>
        <v>9587836.920538552</v>
      </c>
      <c r="AC15" s="8">
        <f>AC14+AC13</f>
        <v>9063912.433494106</v>
      </c>
      <c r="AD15" s="8">
        <f>AD14+AD13</f>
        <v>8513192.334273549</v>
      </c>
      <c r="AE15" s="8">
        <f>AE14+AE13</f>
        <v>7954778.607572477</v>
      </c>
      <c r="AF15" s="8">
        <f>AF14+AF13</f>
        <v>7403302.04004807</v>
      </c>
      <c r="AG15" s="8">
        <f>AG14+AG13</f>
        <v>6820691.022338567</v>
      </c>
      <c r="AH15" s="8">
        <f>AH14+AH13</f>
        <v>6235634.137839122</v>
      </c>
      <c r="AI15" s="8">
        <f>AI14+AI13</f>
        <v>5648317.70622719</v>
      </c>
      <c r="AJ15" s="8">
        <f>AJ14+AJ13</f>
        <v>5053857.11382496</v>
      </c>
      <c r="AK15" s="8">
        <f>AK14+AK13</f>
        <v>4452370.631612674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K18"/>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6.7109375" customWidth="1"/>
    <col min="2" max="37" width="12.7109375" customWidth="1"/>
  </cols>
  <sheetData>
    <row r="1" spans="1:37">
      <c r="A1" s="1" t="s">
        <v>64</v>
      </c>
    </row>
    <row r="2" spans="1:37">
      <c r="A2" s="6" t="s">
        <v>35</v>
      </c>
      <c r="B2" s="6">
        <v>46023</v>
      </c>
      <c r="C2" s="6">
        <v>46054</v>
      </c>
      <c r="D2" s="6">
        <v>46082</v>
      </c>
      <c r="E2" s="6">
        <v>46113</v>
      </c>
      <c r="F2" s="6">
        <v>46143</v>
      </c>
      <c r="G2" s="6">
        <v>46174</v>
      </c>
      <c r="H2" s="6">
        <v>46204</v>
      </c>
      <c r="I2" s="6">
        <v>46235</v>
      </c>
      <c r="J2" s="6">
        <v>46266</v>
      </c>
      <c r="K2" s="6">
        <v>46296</v>
      </c>
      <c r="L2" s="6">
        <v>46327</v>
      </c>
      <c r="M2" s="6">
        <v>46357</v>
      </c>
      <c r="N2" s="6">
        <v>46388</v>
      </c>
      <c r="O2" s="6">
        <v>46419</v>
      </c>
      <c r="P2" s="6">
        <v>46447</v>
      </c>
      <c r="Q2" s="6">
        <v>46478</v>
      </c>
      <c r="R2" s="6">
        <v>46508</v>
      </c>
      <c r="S2" s="6">
        <v>46539</v>
      </c>
      <c r="T2" s="6">
        <v>46569</v>
      </c>
      <c r="U2" s="6">
        <v>46600</v>
      </c>
      <c r="V2" s="6">
        <v>46631</v>
      </c>
      <c r="W2" s="6">
        <v>46661</v>
      </c>
      <c r="X2" s="6">
        <v>46692</v>
      </c>
      <c r="Y2" s="6">
        <v>46722</v>
      </c>
      <c r="Z2" s="6">
        <v>46753</v>
      </c>
      <c r="AA2" s="6">
        <v>46784</v>
      </c>
      <c r="AB2" s="6">
        <v>46813</v>
      </c>
      <c r="AC2" s="6">
        <v>46844</v>
      </c>
      <c r="AD2" s="6">
        <v>46874</v>
      </c>
      <c r="AE2" s="6">
        <v>46905</v>
      </c>
      <c r="AF2" s="6">
        <v>46935</v>
      </c>
      <c r="AG2" s="6">
        <v>46966</v>
      </c>
      <c r="AH2" s="6">
        <v>46997</v>
      </c>
      <c r="AI2" s="6">
        <v>47027</v>
      </c>
      <c r="AJ2" s="6">
        <v>47058</v>
      </c>
      <c r="AK2" s="6">
        <v>47088</v>
      </c>
    </row>
    <row r="4" spans="1:37">
      <c r="A4" t="s">
        <v>65</v>
      </c>
      <c r="B4" s="3">
        <f>'Cash Flow'!B15</f>
        <v>6020935.0</v>
      </c>
      <c r="C4" s="3">
        <f>'Cash Flow'!C15</f>
        <v>5683334.5</v>
      </c>
      <c r="D4" s="3">
        <f>'Cash Flow'!D15</f>
        <v>5321885.0</v>
      </c>
      <c r="E4" s="3">
        <f>'Cash Flow'!E15</f>
        <v>4958678.0</v>
      </c>
      <c r="F4" s="3">
        <f>'Cash Flow'!F15</f>
        <v>4598703.5</v>
      </c>
      <c r="G4" s="3">
        <f>'Cash Flow'!G15</f>
        <v>4211081.5</v>
      </c>
      <c r="H4" s="3">
        <f>'Cash Flow'!H15</f>
        <v>3822155.0</v>
      </c>
      <c r="I4" s="3">
        <f>'Cash Flow'!I15</f>
        <v>3432733.0</v>
      </c>
      <c r="J4" s="3">
        <f>'Cash Flow'!J15</f>
        <v>3025754.662</v>
      </c>
      <c r="K4" s="3">
        <f>'Cash Flow'!K15</f>
        <v>2615292.80255</v>
      </c>
      <c r="L4" s="3">
        <f>'Cash Flow'!L15</f>
        <v>2200636.89661375</v>
      </c>
      <c r="M4" s="3">
        <f>'Cash Flow'!M15</f>
        <v>1776853.968029094</v>
      </c>
      <c r="N4" s="3">
        <f>'Cash Flow'!N15</f>
        <v>1348911.2429304444</v>
      </c>
      <c r="O4" s="3">
        <f>'Cash Flow'!O15</f>
        <v>934948.5506220576</v>
      </c>
      <c r="P4" s="3">
        <f>'Cash Flow'!P15</f>
        <v>15491478.663575446</v>
      </c>
      <c r="Q4" s="3">
        <f>'Cash Flow'!Q15</f>
        <v>15034567.02935267</v>
      </c>
      <c r="R4" s="3">
        <v>14600000</v>
      </c>
      <c r="S4" s="3">
        <f>'Cash Flow'!S15</f>
        <v>14104523.740444021</v>
      </c>
      <c r="T4" s="3">
        <f>'Cash Flow'!T15</f>
        <v>13626549.483142959</v>
      </c>
      <c r="U4" s="3">
        <f>'Cash Flow'!U15</f>
        <v>13140048.369409371</v>
      </c>
      <c r="V4" s="3">
        <f>'Cash Flow'!V15</f>
        <v>12645104.102832444</v>
      </c>
      <c r="W4" s="3">
        <f>'Cash Flow'!W15</f>
        <v>12146802.479591092</v>
      </c>
      <c r="X4" s="3">
        <f>'Cash Flow'!X15</f>
        <v>11668569.411980862</v>
      </c>
      <c r="Y4" s="3">
        <f>'Cash Flow'!Y15</f>
        <v>11171728.810598603</v>
      </c>
      <c r="Z4" s="3">
        <f>'Cash Flow'!Z15</f>
        <v>10640903.495805658</v>
      </c>
      <c r="AA4" s="3">
        <f>'Cash Flow'!AA15</f>
        <v>10108866.29814289</v>
      </c>
      <c r="AB4" s="3">
        <f>'Cash Flow'!AB15</f>
        <v>9587836.920538552</v>
      </c>
      <c r="AC4" s="3">
        <f>'Cash Flow'!AC15</f>
        <v>9063912.433494106</v>
      </c>
      <c r="AD4" s="3">
        <f>'Cash Flow'!AD15</f>
        <v>8513192.334273549</v>
      </c>
      <c r="AE4" s="3">
        <f>'Cash Flow'!AE15</f>
        <v>7954778.607572477</v>
      </c>
      <c r="AF4" s="3">
        <f>'Cash Flow'!AF15</f>
        <v>7403302.04004807</v>
      </c>
      <c r="AG4" s="3">
        <f>'Cash Flow'!AG15</f>
        <v>6820691.022338567</v>
      </c>
      <c r="AH4" s="3">
        <f>'Cash Flow'!AH15</f>
        <v>6235634.137839122</v>
      </c>
      <c r="AI4" s="3">
        <f>'Cash Flow'!AI15</f>
        <v>5648317.70622719</v>
      </c>
      <c r="AJ4" s="3">
        <f>'Cash Flow'!AJ15</f>
        <v>5053857.11382496</v>
      </c>
      <c r="AK4" s="3">
        <f>'Cash Flow'!AK15</f>
        <v>4452370.631612674</v>
      </c>
    </row>
    <row r="5" spans="1:37">
      <c r="A5" t="s">
        <v>66</v>
      </c>
      <c r="B5" s="3">
        <f>'P&amp;L'!B4*Inputs!$B$13</f>
        <v>191756</v>
      </c>
      <c r="C5" s="3">
        <f>'P&amp;L'!C4*Inputs!$B$13</f>
        <v>196164</v>
      </c>
      <c r="D5" s="3">
        <f>'P&amp;L'!D4*Inputs!$B$13</f>
        <v>198653</v>
      </c>
      <c r="E5" s="3">
        <f>'P&amp;L'!E4*Inputs!$B$13</f>
        <v>206350</v>
      </c>
      <c r="F5" s="3">
        <f>'P&amp;L'!F4*Inputs!$B$13</f>
        <v>210722</v>
      </c>
      <c r="G5" s="3">
        <f>'P&amp;L'!G4*Inputs!$B$13</f>
        <v>218234</v>
      </c>
      <c r="H5" s="3">
        <f>'P&amp;L'!H4*Inputs!$B$13</f>
        <v>220543</v>
      </c>
      <c r="I5" s="3">
        <f>'P&amp;L'!I4*Inputs!$B$13</f>
        <v>225613</v>
      </c>
      <c r="J5" s="3">
        <f>'P&amp;L'!J4*Inputs!$B$13</f>
        <v>232543.80000000002</v>
      </c>
      <c r="K5" s="3">
        <f>'P&amp;L'!K4*Inputs!$B$13</f>
        <v>238357.39500000002</v>
      </c>
      <c r="L5" s="3">
        <f>'P&amp;L'!L4*Inputs!$B$13</f>
        <v>244316.32987500002</v>
      </c>
      <c r="M5" s="3">
        <f>'P&amp;L'!M4*Inputs!$B$13</f>
        <v>250424.238121875</v>
      </c>
      <c r="N5" s="3">
        <f>'P&amp;L'!N4*Inputs!$B$13</f>
        <v>274652.7831601664</v>
      </c>
      <c r="O5" s="3">
        <f>'P&amp;L'!O4*Inputs!$B$13</f>
        <v>263101.9651767949</v>
      </c>
      <c r="P5" s="3">
        <f>'P&amp;L'!P4*Inputs!$B$13</f>
        <v>269679.51430621475</v>
      </c>
      <c r="Q5" s="3">
        <f>'P&amp;L'!Q4*Inputs!$B$13</f>
        <v>276421.50216387014</v>
      </c>
      <c r="R5" s="3">
        <f>'P&amp;L'!R4*Inputs!$B$13</f>
        <v>283332.03971796687</v>
      </c>
      <c r="S5" s="3">
        <f>'P&amp;L'!S4*Inputs!$B$13</f>
        <v>290415.3407109161</v>
      </c>
      <c r="T5" s="3">
        <f>'P&amp;L'!T4*Inputs!$B$13</f>
        <v>297675.724228689</v>
      </c>
      <c r="U5" s="3">
        <f>'P&amp;L'!U4*Inputs!$B$13</f>
        <v>305117.6173344062</v>
      </c>
      <c r="V5" s="3">
        <f>'P&amp;L'!V4*Inputs!$B$13</f>
        <v>312745.55776776635</v>
      </c>
      <c r="W5" s="3">
        <f>'P&amp;L'!W4*Inputs!$B$13</f>
        <v>320564.19671196054</v>
      </c>
      <c r="X5" s="3">
        <f>'P&amp;L'!X4*Inputs!$B$13</f>
        <v>320564.19671196054</v>
      </c>
      <c r="Y5" s="3">
        <f>'P&amp;L'!Y4*Inputs!$B$13</f>
        <v>328578.30162975955</v>
      </c>
      <c r="Z5" s="3">
        <f>'P&amp;L'!Z4*Inputs!$B$13</f>
        <v>336792.7591705036</v>
      </c>
      <c r="AA5" s="3">
        <f>'P&amp;L'!AA4*Inputs!$B$13</f>
        <v>345212.5781497662</v>
      </c>
      <c r="AB5" s="3">
        <f>'P&amp;L'!AB4*Inputs!$B$13</f>
        <v>353842.89260351035</v>
      </c>
      <c r="AC5" s="3">
        <f>'P&amp;L'!AC4*Inputs!$B$13</f>
        <v>362688.9649185981</v>
      </c>
      <c r="AD5" s="3">
        <f>'P&amp;L'!AD4*Inputs!$B$13</f>
        <v>371756.1890415631</v>
      </c>
      <c r="AE5" s="3">
        <f>'P&amp;L'!AE4*Inputs!$B$13</f>
        <v>381050.0937676022</v>
      </c>
      <c r="AF5" s="3">
        <f>'P&amp;L'!AE4*Inputs!$B$13</f>
        <v>381050.0937676022</v>
      </c>
      <c r="AG5" s="3">
        <f>'P&amp;L'!AG4*Inputs!$B$13</f>
        <v>400340.7547645871</v>
      </c>
      <c r="AH5" s="3">
        <f>'P&amp;L'!AH4*Inputs!$B$13</f>
        <v>410349.2736337018</v>
      </c>
      <c r="AI5" s="3">
        <f>'P&amp;L'!AI4*Inputs!$B$13</f>
        <v>420608.00547454436</v>
      </c>
      <c r="AJ5" s="3">
        <f>'P&amp;L'!AJ4*Inputs!$B$13</f>
        <v>431123.205611408</v>
      </c>
      <c r="AK5" s="3">
        <f>'P&amp;L'!AK4*Inputs!$B$13</f>
        <v>441901.2857516932</v>
      </c>
    </row>
    <row r="6" spans="1:37">
      <c r="A6" t="s">
        <v>67</v>
      </c>
      <c r="B6" s="3">
        <f>Inputs!$B$19+Inputs!$B$11-'P&amp;L'!B12</f>
        <v>313000</v>
      </c>
      <c r="C6" s="3">
        <f>B6+Inputs!$B$11-'P&amp;L'!C12</f>
        <v>316000</v>
      </c>
      <c r="D6" s="3">
        <f>C6+Inputs!$B$11-'P&amp;L'!D12</f>
        <v>319000</v>
      </c>
      <c r="E6" s="3">
        <f>D6+Inputs!$B$11-'P&amp;L'!E12</f>
        <v>322000</v>
      </c>
      <c r="F6" s="3">
        <f>E6+Inputs!$B$11-'P&amp;L'!F12</f>
        <v>325000</v>
      </c>
      <c r="G6" s="3">
        <f>F6+Inputs!$B$11-'P&amp;L'!G12</f>
        <v>328000</v>
      </c>
      <c r="H6" s="3">
        <f>G6+Inputs!$B$11-'P&amp;L'!H12</f>
        <v>331000</v>
      </c>
      <c r="I6" s="3">
        <f>H6+Inputs!$B$11-'P&amp;L'!I12</f>
        <v>334000</v>
      </c>
      <c r="J6" s="3">
        <f>I6+Inputs!$B$11-'P&amp;L'!J12</f>
        <v>337000</v>
      </c>
      <c r="K6" s="3">
        <f>J6+Inputs!$B$11-'P&amp;L'!K12</f>
        <v>340000</v>
      </c>
      <c r="L6" s="3">
        <f>K6+Inputs!$B$11-'P&amp;L'!L12</f>
        <v>343000</v>
      </c>
      <c r="M6" s="3">
        <f>L6+Inputs!$B$11-'P&amp;L'!M12</f>
        <v>346000</v>
      </c>
      <c r="N6" s="3">
        <f>M6+Inputs!$B$11-'P&amp;L'!N12</f>
        <v>349000</v>
      </c>
      <c r="O6" s="3">
        <f>N6+Inputs!$B$11-'P&amp;L'!O12</f>
        <v>352000</v>
      </c>
      <c r="P6" s="3">
        <f>O6+Inputs!$B$11-'P&amp;L'!P12</f>
        <v>355000</v>
      </c>
      <c r="Q6" s="3">
        <f>P6+Inputs!$B$11-'P&amp;L'!Q12</f>
        <v>358000</v>
      </c>
      <c r="R6" s="3">
        <f>Q6+Inputs!$B$11-'P&amp;L'!R12</f>
        <v>361000</v>
      </c>
      <c r="S6" s="3">
        <f>R6+Inputs!$B$11-'P&amp;L'!S12</f>
        <v>364000</v>
      </c>
      <c r="T6" s="3">
        <f>S6+Inputs!$B$11-'P&amp;L'!T12</f>
        <v>367000</v>
      </c>
      <c r="U6" s="3">
        <f>T6+Inputs!$B$11-'P&amp;L'!U12</f>
        <v>370000</v>
      </c>
      <c r="V6" s="3">
        <f>U6+Inputs!$B$11-'P&amp;L'!V12</f>
        <v>373000</v>
      </c>
      <c r="W6" s="3">
        <f>V6+Inputs!$B$11-'P&amp;L'!W12</f>
        <v>376000</v>
      </c>
      <c r="X6" s="3">
        <f>W6+Inputs!$B$11-'P&amp;L'!X12</f>
        <v>379000</v>
      </c>
      <c r="Y6" s="3">
        <f>X6+Inputs!$B$11-'P&amp;L'!Y12</f>
        <v>382000</v>
      </c>
      <c r="Z6" s="3">
        <f>Y6+Inputs!$B$11-'P&amp;L'!Z12</f>
        <v>385000</v>
      </c>
      <c r="AA6" s="3">
        <f>Z6+Inputs!$B$11-'P&amp;L'!AA12</f>
        <v>388000</v>
      </c>
      <c r="AB6" s="3">
        <f>AA6+Inputs!$B$11-'P&amp;L'!AB12</f>
        <v>391000</v>
      </c>
      <c r="AC6" s="3">
        <f>AB6+Inputs!$B$11-'P&amp;L'!AC12</f>
        <v>394000</v>
      </c>
      <c r="AD6" s="3">
        <f>AC6+Inputs!$B$11-'P&amp;L'!AD12</f>
        <v>397000</v>
      </c>
      <c r="AE6" s="3">
        <f>AD6+Inputs!$B$11-'P&amp;L'!AE12</f>
        <v>400000</v>
      </c>
      <c r="AF6" s="3">
        <f>AE6+Inputs!$B$11-'P&amp;L'!AF12</f>
        <v>403000</v>
      </c>
      <c r="AG6" s="3">
        <f>AF6+Inputs!$B$11-'P&amp;L'!AG12</f>
        <v>406000</v>
      </c>
      <c r="AH6" s="3">
        <f>AG6+Inputs!$B$11-'P&amp;L'!AH12</f>
        <v>409000</v>
      </c>
      <c r="AI6" s="3">
        <f>AH6+Inputs!$B$11-'P&amp;L'!AI12</f>
        <v>412000</v>
      </c>
      <c r="AJ6" s="3">
        <f>AI6+Inputs!$B$11-'P&amp;L'!AJ12</f>
        <v>415000</v>
      </c>
      <c r="AK6" s="3">
        <f>AJ6+Inputs!$B$11-'P&amp;L'!AK12</f>
        <v>418000</v>
      </c>
    </row>
    <row r="7" spans="1:37">
      <c r="A7" t="s">
        <v>68</v>
      </c>
      <c r="B7" s="8">
        <f>SUM(B4:B6)</f>
        <v>6525691.0</v>
      </c>
      <c r="C7" s="8">
        <f>SUM(C4:C6)</f>
        <v>6195498.5</v>
      </c>
      <c r="D7" s="8">
        <f>SUM(D4:D6)</f>
        <v>5839538.0</v>
      </c>
      <c r="E7" s="8">
        <f>SUM(E4:E6)</f>
        <v>5487028.0</v>
      </c>
      <c r="F7" s="8">
        <f>SUM(F4:F6)</f>
        <v>5134425.5</v>
      </c>
      <c r="G7" s="8">
        <f>SUM(G4:G6)</f>
        <v>4757315.5</v>
      </c>
      <c r="H7" s="8">
        <f>SUM(H4:H6)</f>
        <v>4373698.0</v>
      </c>
      <c r="I7" s="8">
        <f>SUM(I4:I6)</f>
        <v>3992346.0</v>
      </c>
      <c r="J7" s="8">
        <f>SUM(J4:J6)</f>
        <v>3595298.462</v>
      </c>
      <c r="K7" s="8">
        <f>SUM(K4:K6)</f>
        <v>3193650.19755</v>
      </c>
      <c r="L7" s="8">
        <f>SUM(L4:L6)</f>
        <v>2787953.22648875</v>
      </c>
      <c r="M7" s="8">
        <f>SUM(M4:M6)</f>
        <v>2373278.206150969</v>
      </c>
      <c r="N7" s="8">
        <f>SUM(N4:N6)</f>
        <v>1972564.0260906108</v>
      </c>
      <c r="O7" s="8">
        <f>SUM(O4:O6)</f>
        <v>1550050.5157988525</v>
      </c>
      <c r="P7" s="8">
        <f>SUM(P4:P6)</f>
        <v>16116158.177881662</v>
      </c>
      <c r="Q7" s="8">
        <f>SUM(Q4:Q6)</f>
        <v>15668988.53151654</v>
      </c>
      <c r="R7" s="8">
        <f>SUM(R4:R6)</f>
        <v>15244332.039717967</v>
      </c>
      <c r="S7" s="8">
        <f>SUM(S4:S6)</f>
        <v>14758939.081154937</v>
      </c>
      <c r="T7" s="8">
        <f>SUM(T4:T6)</f>
        <v>14291225.207371648</v>
      </c>
      <c r="U7" s="8">
        <f>SUM(U4:U6)</f>
        <v>13815165.986743778</v>
      </c>
      <c r="V7" s="8">
        <f>SUM(V4:V6)</f>
        <v>13330849.66060021</v>
      </c>
      <c r="W7" s="8">
        <f>SUM(W4:W6)</f>
        <v>12843366.676303053</v>
      </c>
      <c r="X7" s="8">
        <f>SUM(X4:X6)</f>
        <v>12368133.608692823</v>
      </c>
      <c r="Y7" s="8">
        <f>SUM(Y4:Y6)</f>
        <v>11882307.112228362</v>
      </c>
      <c r="Z7" s="8">
        <f>SUM(Z4:Z6)</f>
        <v>11362696.254976163</v>
      </c>
      <c r="AA7" s="8">
        <f>SUM(AA4:AA6)</f>
        <v>10842078.876292655</v>
      </c>
      <c r="AB7" s="8">
        <f>SUM(AB4:AB6)</f>
        <v>10332679.813142063</v>
      </c>
      <c r="AC7" s="8">
        <f>SUM(AC4:AC6)</f>
        <v>9820601.398412704</v>
      </c>
      <c r="AD7" s="8">
        <f>SUM(AD4:AD6)</f>
        <v>9281948.523315111</v>
      </c>
      <c r="AE7" s="8">
        <f>SUM(AE4:AE6)</f>
        <v>8735828.70134008</v>
      </c>
      <c r="AF7" s="8">
        <f>SUM(AF4:AF6)</f>
        <v>8187352.133815672</v>
      </c>
      <c r="AG7" s="8">
        <f>SUM(AG4:AG6)</f>
        <v>7627031.777103154</v>
      </c>
      <c r="AH7" s="8">
        <f>SUM(AH4:AH6)</f>
        <v>7054983.4114728235</v>
      </c>
      <c r="AI7" s="8">
        <f>SUM(AI4:AI6)</f>
        <v>6480925.711701734</v>
      </c>
      <c r="AJ7" s="8">
        <f>SUM(AJ4:AJ6)</f>
        <v>5899980.319436368</v>
      </c>
      <c r="AK7" s="8">
        <f>SUM(AK4:AK6)</f>
        <v>5312271.917364367</v>
      </c>
    </row>
    <row r="9" spans="1:37">
      <c r="A9" t="s">
        <v>69</v>
      </c>
      <c r="B9" s="3">
        <f>('P&amp;L'!B5+'P&amp;L'!B10)*Inputs!$B$14</f>
        <v>250565.0</v>
      </c>
      <c r="C9" s="3">
        <f>('P&amp;L'!C5+'P&amp;L'!C10)*Inputs!$B$14</f>
        <v>266791.5</v>
      </c>
      <c r="D9" s="3">
        <f>('P&amp;L'!D5+'P&amp;L'!D10)*Inputs!$B$14</f>
        <v>278822.0</v>
      </c>
      <c r="E9" s="3">
        <f>('P&amp;L'!E5+'P&amp;L'!E10)*Inputs!$B$14</f>
        <v>271038.0</v>
      </c>
      <c r="F9" s="3">
        <f>('P&amp;L'!F5+'P&amp;L'!F10)*Inputs!$B$14</f>
        <v>283286.5</v>
      </c>
      <c r="G9" s="3">
        <f>('P&amp;L'!G5+'P&amp;L'!G10)*Inputs!$B$14</f>
        <v>303057.5</v>
      </c>
      <c r="H9" s="3">
        <f>('P&amp;L'!H5+'P&amp;L'!H10)*Inputs!$B$14</f>
        <v>292103.0</v>
      </c>
      <c r="I9" s="3">
        <f>('P&amp;L'!I5+'P&amp;L'!I10)*Inputs!$B$14</f>
        <v>305862.0</v>
      </c>
      <c r="J9" s="3">
        <f>('P&amp;L'!J5+'P&amp;L'!J10)*Inputs!$B$14</f>
        <v>314729.33800000005</v>
      </c>
      <c r="K9" s="3">
        <f>('P&amp;L'!K5+'P&amp;L'!K10)*Inputs!$B$14</f>
        <v>316276.32145000005</v>
      </c>
      <c r="L9" s="3">
        <f>('P&amp;L'!L5+'P&amp;L'!L10)*Inputs!$B$14</f>
        <v>324736.97948624997</v>
      </c>
      <c r="M9" s="3">
        <f>('P&amp;L'!M5+'P&amp;L'!M10)*Inputs!$B$14</f>
        <v>331362.27897340624</v>
      </c>
      <c r="N9" s="3">
        <f>('P&amp;L'!N5+'P&amp;L'!N10)*Inputs!$B$14</f>
        <v>335004.6842471183</v>
      </c>
      <c r="O9" s="3">
        <f>('P&amp;L'!O5+'P&amp;L'!O10)*Inputs!$B$14</f>
        <v>341610.79122143495</v>
      </c>
      <c r="P9" s="3">
        <f>('P&amp;L'!P5+'P&amp;L'!P10)*Inputs!$B$14</f>
        <v>352961.06100197084</v>
      </c>
      <c r="Q9" s="3">
        <f>('P&amp;L'!Q5+'P&amp;L'!Q10)*Inputs!$B$14</f>
        <v>361630.0875270201</v>
      </c>
      <c r="R9" s="3">
        <f>('P&amp;L'!R5+'P&amp;L'!R10)*Inputs!$B$14</f>
        <v>363468.9647151956</v>
      </c>
      <c r="S9" s="3">
        <f>('P&amp;L'!S5+'P&amp;L'!S10)*Inputs!$B$14</f>
        <v>377228.81383307546</v>
      </c>
      <c r="T9" s="3">
        <f>('P&amp;L'!T5+'P&amp;L'!T10)*Inputs!$B$14</f>
        <v>379160.78417890234</v>
      </c>
      <c r="U9" s="3">
        <f>('P&amp;L'!U5+'P&amp;L'!U10)*Inputs!$B$14</f>
        <v>393016.05378337495</v>
      </c>
      <c r="V9" s="3">
        <f>('P&amp;L'!V5+'P&amp;L'!V10)*Inputs!$B$14</f>
        <v>395045.83012795926</v>
      </c>
      <c r="W9" s="3">
        <f>('P&amp;L'!W5+'P&amp;L'!W10)*Inputs!$B$14</f>
        <v>404001.35088115826</v>
      </c>
      <c r="X9" s="3">
        <f>('P&amp;L'!X5+'P&amp;L'!X10)*Inputs!$B$14</f>
        <v>382795.91344103334</v>
      </c>
      <c r="Y9" s="3">
        <f>('P&amp;L'!Y5+'P&amp;L'!Y10)*Inputs!$B$14</f>
        <v>422608.88465318724</v>
      </c>
      <c r="Z9" s="3">
        <f>('P&amp;L'!Z5+'P&amp;L'!Z10)*Inputs!$B$14</f>
        <v>424794.73176951695</v>
      </c>
      <c r="AA9" s="3">
        <f>('P&amp;L'!AA5+'P&amp;L'!AA10)*Inputs!$B$14</f>
        <v>432035.2250637549</v>
      </c>
      <c r="AB9" s="3">
        <f>('P&amp;L'!AB5+'P&amp;L'!AB10)*Inputs!$B$14</f>
        <v>422206.7306903488</v>
      </c>
      <c r="AC9" s="3">
        <f>('P&amp;L'!AC5+'P&amp;L'!AC10)*Inputs!$B$14</f>
        <v>443560.64895760745</v>
      </c>
      <c r="AD9" s="3">
        <f>('P&amp;L'!AD5+'P&amp;L'!AD10)*Inputs!$B$14</f>
        <v>457848.41518154764</v>
      </c>
      <c r="AE9" s="3">
        <f>('P&amp;L'!AE5+'P&amp;L'!AE10)*Inputs!$B$14</f>
        <v>460321.5005610863</v>
      </c>
      <c r="AF9" s="3">
        <f>('P&amp;L'!AF5+'P&amp;L'!AF10)*Inputs!$B$14</f>
        <v>469731.4130751135</v>
      </c>
      <c r="AG9" s="3">
        <f>('P&amp;L'!AG5+'P&amp;L'!AG10)*Inputs!$B$14</f>
        <v>481929.69840199134</v>
      </c>
      <c r="AH9" s="3">
        <f>('P&amp;L'!AH5+'P&amp;L'!AH10)*Inputs!$B$14</f>
        <v>491467.94086204114</v>
      </c>
      <c r="AI9" s="3">
        <f>('P&amp;L'!AI5+'P&amp;L'!AI10)*Inputs!$B$14</f>
        <v>494197.7643835922</v>
      </c>
      <c r="AJ9" s="3">
        <f>('P&amp;L'!AJ5+'P&amp;L'!AJ10)*Inputs!$B$14</f>
        <v>508870.83349318197</v>
      </c>
      <c r="AK9" s="3">
        <f>('P&amp;L'!AK5+'P&amp;L'!AK10)*Inputs!$B$14</f>
        <v>511738.85433051153</v>
      </c>
    </row>
    <row r="10" spans="1:37">
      <c r="A10" t="s">
        <v>70</v>
      </c>
      <c r="B10" s="3">
        <f>B9</f>
        <v>250565.0</v>
      </c>
      <c r="C10" s="3">
        <f>C9</f>
        <v>266791.5</v>
      </c>
      <c r="D10" s="3">
        <f>D9</f>
        <v>278822.0</v>
      </c>
      <c r="E10" s="3">
        <f>E9</f>
        <v>271038.0</v>
      </c>
      <c r="F10" s="3">
        <f>F9</f>
        <v>283286.5</v>
      </c>
      <c r="G10" s="3">
        <f>G9</f>
        <v>303057.5</v>
      </c>
      <c r="H10" s="3">
        <f>H9</f>
        <v>292103.0</v>
      </c>
      <c r="I10" s="3">
        <f>I9</f>
        <v>305862.0</v>
      </c>
      <c r="J10" s="3">
        <f>J9</f>
        <v>314729.33800000005</v>
      </c>
      <c r="K10" s="3">
        <f>K9</f>
        <v>316276.32145000005</v>
      </c>
      <c r="L10" s="3">
        <f>L9</f>
        <v>324736.97948624997</v>
      </c>
      <c r="M10" s="3">
        <f>M9</f>
        <v>331362.27897340624</v>
      </c>
      <c r="N10" s="3">
        <f>N9</f>
        <v>335004.6842471183</v>
      </c>
      <c r="O10" s="3">
        <f>O9</f>
        <v>341610.79122143495</v>
      </c>
      <c r="P10" s="3">
        <f>P9</f>
        <v>352961.06100197084</v>
      </c>
      <c r="Q10" s="3">
        <f>Q9</f>
        <v>361630.0875270201</v>
      </c>
      <c r="R10" s="3">
        <f>R9</f>
        <v>363468.9647151956</v>
      </c>
      <c r="S10" s="3">
        <f>S9</f>
        <v>377228.81383307546</v>
      </c>
      <c r="T10" s="3">
        <f>T9</f>
        <v>379160.78417890234</v>
      </c>
      <c r="U10" s="3">
        <f>U9</f>
        <v>393016.05378337495</v>
      </c>
      <c r="V10" s="3">
        <f>V9</f>
        <v>395045.83012795926</v>
      </c>
      <c r="W10" s="3">
        <f>W9</f>
        <v>404001.35088115826</v>
      </c>
      <c r="X10" s="3">
        <f>X9</f>
        <v>382795.91344103334</v>
      </c>
      <c r="Y10" s="3">
        <f>Y9</f>
        <v>422608.88465318724</v>
      </c>
      <c r="Z10" s="3">
        <f>Z9</f>
        <v>424794.73176951695</v>
      </c>
      <c r="AA10" s="3">
        <f>AA9</f>
        <v>432035.2250637549</v>
      </c>
      <c r="AB10" s="3">
        <f>AB9</f>
        <v>422206.7306903488</v>
      </c>
      <c r="AC10" s="3">
        <f>AC9</f>
        <v>443560.64895760745</v>
      </c>
      <c r="AD10" s="3">
        <f>AD9</f>
        <v>457848.41518154764</v>
      </c>
      <c r="AE10" s="3">
        <f>AE9</f>
        <v>460321.5005610863</v>
      </c>
      <c r="AF10" s="3">
        <f>AF9</f>
        <v>469731.4130751135</v>
      </c>
      <c r="AG10" s="3">
        <f>AG9</f>
        <v>481929.69840199134</v>
      </c>
      <c r="AH10" s="3">
        <f>AH9</f>
        <v>491467.94086204114</v>
      </c>
      <c r="AI10" s="3">
        <f>AI9</f>
        <v>494197.7643835922</v>
      </c>
      <c r="AJ10" s="3">
        <f>AJ9</f>
        <v>508870.83349318197</v>
      </c>
      <c r="AK10" s="3">
        <f>AK9</f>
        <v>511738.85433051153</v>
      </c>
    </row>
    <row r="12" spans="1:37">
      <c r="A12" t="s">
        <v>71</v>
      </c>
      <c r="B12" s="3">
        <f>Inputs!$B$21+'Cash Flow'!B11</f>
        <v>9500000</v>
      </c>
      <c r="C12" s="3">
        <f>B12+'Cash Flow'!C11</f>
        <v>9500000</v>
      </c>
      <c r="D12" s="3">
        <f>C12+'Cash Flow'!D11</f>
        <v>9500000</v>
      </c>
      <c r="E12" s="3">
        <f>D12+'Cash Flow'!E11</f>
        <v>9500000</v>
      </c>
      <c r="F12" s="3">
        <f>E12+'Cash Flow'!F11</f>
        <v>9500000</v>
      </c>
      <c r="G12" s="3">
        <f>F12+'Cash Flow'!G11</f>
        <v>9500000</v>
      </c>
      <c r="H12" s="3">
        <f>G12+'Cash Flow'!H11</f>
        <v>9500000</v>
      </c>
      <c r="I12" s="3">
        <f>H12+'Cash Flow'!I11</f>
        <v>9500000</v>
      </c>
      <c r="J12" s="3">
        <f>I12+'Cash Flow'!J11</f>
        <v>9500000</v>
      </c>
      <c r="K12" s="3">
        <f>J12+'Cash Flow'!K11</f>
        <v>9500000</v>
      </c>
      <c r="L12" s="3">
        <f>K12+'Cash Flow'!L11</f>
        <v>9500000</v>
      </c>
      <c r="M12" s="3">
        <f>L12+'Cash Flow'!M11</f>
        <v>9500000</v>
      </c>
      <c r="N12" s="3">
        <f>M12+'Cash Flow'!N11</f>
        <v>9500000</v>
      </c>
      <c r="O12" s="3">
        <f>N12+'Cash Flow'!O11</f>
        <v>9500000</v>
      </c>
      <c r="P12" s="3">
        <f>O12+'Cash Flow'!P11</f>
        <v>24500000</v>
      </c>
      <c r="Q12" s="3">
        <f>P12+'Cash Flow'!Q11</f>
        <v>24500000</v>
      </c>
      <c r="R12" s="3">
        <f>Q12+'Cash Flow'!R11</f>
        <v>24500000</v>
      </c>
      <c r="S12" s="3">
        <f>R12+'Cash Flow'!S11</f>
        <v>24500000</v>
      </c>
      <c r="T12" s="3">
        <f>S12+'Cash Flow'!T11</f>
        <v>24500000</v>
      </c>
      <c r="U12" s="3">
        <f>T12+'Cash Flow'!U11</f>
        <v>24500000</v>
      </c>
      <c r="V12" s="3">
        <f>U12+'Cash Flow'!V11</f>
        <v>24500000</v>
      </c>
      <c r="W12" s="3">
        <f>V12+'Cash Flow'!W11</f>
        <v>24500000</v>
      </c>
      <c r="X12" s="3">
        <f>W12+'Cash Flow'!X11</f>
        <v>24500000</v>
      </c>
      <c r="Y12" s="3">
        <f>X12+'Cash Flow'!Y11</f>
        <v>24500000</v>
      </c>
      <c r="Z12" s="3">
        <f>Y12+'Cash Flow'!Z11</f>
        <v>24500000</v>
      </c>
      <c r="AA12" s="3">
        <f>Z12+'Cash Flow'!AA11</f>
        <v>24500000</v>
      </c>
      <c r="AB12" s="3">
        <f>AA12+'Cash Flow'!AB11</f>
        <v>24500000</v>
      </c>
      <c r="AC12" s="3">
        <f>AB12+'Cash Flow'!AC11</f>
        <v>24500000</v>
      </c>
      <c r="AD12" s="3">
        <f>AC12+'Cash Flow'!AD11</f>
        <v>24500000</v>
      </c>
      <c r="AE12" s="3">
        <f>AD12+'Cash Flow'!AE11</f>
        <v>24500000</v>
      </c>
      <c r="AF12" s="3">
        <f>AE12+'Cash Flow'!AF11</f>
        <v>24500000</v>
      </c>
      <c r="AG12" s="3">
        <f>AF12+'Cash Flow'!AG11</f>
        <v>24500000</v>
      </c>
      <c r="AH12" s="3">
        <f>AG12+'Cash Flow'!AH11</f>
        <v>24500000</v>
      </c>
      <c r="AI12" s="3">
        <f>AH12+'Cash Flow'!AI11</f>
        <v>24500000</v>
      </c>
      <c r="AJ12" s="3">
        <f>AI12+'Cash Flow'!AJ11</f>
        <v>24500000</v>
      </c>
      <c r="AK12" s="3">
        <f>AJ12+'Cash Flow'!AK11</f>
        <v>24500000</v>
      </c>
    </row>
    <row r="13" spans="1:37">
      <c r="A13" t="s">
        <v>72</v>
      </c>
      <c r="B13" s="3">
        <f>Inputs!$B$22+'P&amp;L'!B15</f>
        <v>-3224874</v>
      </c>
      <c r="C13" s="3">
        <f>B13+'P&amp;L'!C15</f>
        <v>-3571293</v>
      </c>
      <c r="D13" s="3">
        <f>C13+'P&amp;L'!D15</f>
        <v>-3939284</v>
      </c>
      <c r="E13" s="3">
        <f>D13+'P&amp;L'!E15</f>
        <v>-4284010</v>
      </c>
      <c r="F13" s="3">
        <f>E13+'P&amp;L'!F15</f>
        <v>-4648861</v>
      </c>
      <c r="G13" s="3">
        <f>F13+'P&amp;L'!G15</f>
        <v>-5045742</v>
      </c>
      <c r="H13" s="3">
        <f>G13+'P&amp;L'!H15</f>
        <v>-5418405</v>
      </c>
      <c r="I13" s="3">
        <f>H13+'P&amp;L'!I15</f>
        <v>-5813516</v>
      </c>
      <c r="J13" s="3">
        <f>I13+'P&amp;L'!J15</f>
        <v>-6219430.876</v>
      </c>
      <c r="K13" s="3">
        <f>J13+'P&amp;L'!K15</f>
        <v>-6622626.1239</v>
      </c>
      <c r="L13" s="3">
        <f>K13+'P&amp;L'!L15</f>
        <v>-7036783.7529975</v>
      </c>
      <c r="M13" s="3">
        <f>L13+'P&amp;L'!M15</f>
        <v>-7458084.072822438</v>
      </c>
      <c r="N13" s="3">
        <f>M13+'P&amp;L'!N15</f>
        <v>-7862440.658156508</v>
      </c>
      <c r="O13" s="3">
        <f>N13+'P&amp;L'!O15</f>
        <v>-8291560.275422582</v>
      </c>
      <c r="P13" s="3">
        <f>O13+'P&amp;L'!P15</f>
        <v>-8736802.88312031</v>
      </c>
      <c r="Q13" s="3">
        <f>P13+'P&amp;L'!Q15</f>
        <v>-9192641.55601048</v>
      </c>
      <c r="R13" s="3">
        <f>Q13+'P&amp;L'!R15</f>
        <v>-9645247.445722904</v>
      </c>
      <c r="S13" s="3">
        <f>R13+'P&amp;L'!S15</f>
        <v>-10118289.73267814</v>
      </c>
      <c r="T13" s="3">
        <f>S13+'P&amp;L'!T15</f>
        <v>-10587935.576807255</v>
      </c>
      <c r="U13" s="3">
        <f>T13+'P&amp;L'!U15</f>
        <v>-11077850.067039598</v>
      </c>
      <c r="V13" s="3">
        <f>U13+'P&amp;L'!V15</f>
        <v>-11564196.16952775</v>
      </c>
      <c r="W13" s="3">
        <f>V13+'P&amp;L'!W15</f>
        <v>-12060634.674578106</v>
      </c>
      <c r="X13" s="3">
        <f>W13+'P&amp;L'!X15</f>
        <v>-12514662.304748213</v>
      </c>
      <c r="Y13" s="3">
        <f>X13+'P&amp;L'!Y15</f>
        <v>-13040301.772424828</v>
      </c>
      <c r="Z13" s="3">
        <f>Y13+'P&amp;L'!Z15</f>
        <v>-13562098.476793358</v>
      </c>
      <c r="AA13" s="3">
        <f>Z13+'P&amp;L'!AA15</f>
        <v>-14089956.3487711</v>
      </c>
      <c r="AB13" s="3">
        <f>AA13+'P&amp;L'!AB15</f>
        <v>-14589526.917548288</v>
      </c>
      <c r="AC13" s="3">
        <f>AB13+'P&amp;L'!AC15</f>
        <v>-15122959.250544904</v>
      </c>
      <c r="AD13" s="3">
        <f>AC13+'P&amp;L'!AD15</f>
        <v>-15675899.891866436</v>
      </c>
      <c r="AE13" s="3">
        <f>AD13+'P&amp;L'!AE15</f>
        <v>-16224492.799221007</v>
      </c>
      <c r="AF13" s="3">
        <f>AE13+'P&amp;L'!AF15</f>
        <v>-16782379.279259443</v>
      </c>
      <c r="AG13" s="3">
        <f>AF13+'P&amp;L'!AG15</f>
        <v>-17354897.92129884</v>
      </c>
      <c r="AH13" s="3">
        <f>AG13+'P&amp;L'!AH15</f>
        <v>-17936484.52938922</v>
      </c>
      <c r="AI13" s="3">
        <f>AH13+'P&amp;L'!AI15</f>
        <v>-18513272.05268186</v>
      </c>
      <c r="AJ13" s="3">
        <f>AI13+'P&amp;L'!AJ15</f>
        <v>-19108890.514056817</v>
      </c>
      <c r="AK13" s="3">
        <f>AJ13+'P&amp;L'!AK15</f>
        <v>-19699466.936966147</v>
      </c>
    </row>
    <row r="14" spans="1:37">
      <c r="A14" t="s">
        <v>73</v>
      </c>
      <c r="B14" s="8">
        <f>B12+B13</f>
        <v>6275126</v>
      </c>
      <c r="C14" s="8">
        <f>C12+C13</f>
        <v>5928707</v>
      </c>
      <c r="D14" s="8">
        <f>D12+D13</f>
        <v>5560716</v>
      </c>
      <c r="E14" s="8">
        <f>E12+E13</f>
        <v>5215990</v>
      </c>
      <c r="F14" s="8">
        <f>F12+F13</f>
        <v>4851139</v>
      </c>
      <c r="G14" s="8">
        <f>G12+G13</f>
        <v>4454258</v>
      </c>
      <c r="H14" s="8">
        <f>H12+H13</f>
        <v>4081595</v>
      </c>
      <c r="I14" s="8">
        <f>I12+I13</f>
        <v>3686484</v>
      </c>
      <c r="J14" s="8">
        <f>J12+J13</f>
        <v>3280569.124</v>
      </c>
      <c r="K14" s="8">
        <f>K12+K13</f>
        <v>2877373.8761</v>
      </c>
      <c r="L14" s="8">
        <f>L12+L13</f>
        <v>2463216.2470025</v>
      </c>
      <c r="M14" s="8">
        <f>M12+M13</f>
        <v>2041915.9271775624</v>
      </c>
      <c r="N14" s="8">
        <f>N12+N13</f>
        <v>1637559.3418434924</v>
      </c>
      <c r="O14" s="8">
        <f>O12+O13</f>
        <v>1208439.7245774176</v>
      </c>
      <c r="P14" s="8">
        <f>P12+P13</f>
        <v>15763197.11687969</v>
      </c>
      <c r="Q14" s="8">
        <f>Q12+Q13</f>
        <v>15307358.44398952</v>
      </c>
      <c r="R14" s="8">
        <f>R12+R13</f>
        <v>14854752.554277096</v>
      </c>
      <c r="S14" s="8">
        <f>S12+S13</f>
        <v>14381710.26732186</v>
      </c>
      <c r="T14" s="8">
        <f>T12+T13</f>
        <v>13912064.423192745</v>
      </c>
      <c r="U14" s="8">
        <f>U12+U13</f>
        <v>13422149.932960402</v>
      </c>
      <c r="V14" s="8">
        <f>V12+V13</f>
        <v>12935803.83047225</v>
      </c>
      <c r="W14" s="8">
        <f>W12+W13</f>
        <v>12439365.325421894</v>
      </c>
      <c r="X14" s="8">
        <f>X12+X13</f>
        <v>11985337.695251787</v>
      </c>
      <c r="Y14" s="8">
        <f>Y12+Y13</f>
        <v>11459698.227575172</v>
      </c>
      <c r="Z14" s="8">
        <f>Z12+Z13</f>
        <v>10937901.523206642</v>
      </c>
      <c r="AA14" s="8">
        <f>AA12+AA13</f>
        <v>10410043.6512289</v>
      </c>
      <c r="AB14" s="8">
        <f>AB12+AB13</f>
        <v>9910473.082451712</v>
      </c>
      <c r="AC14" s="8">
        <f>AC12+AC13</f>
        <v>9377040.749455096</v>
      </c>
      <c r="AD14" s="8">
        <f>AD12+AD13</f>
        <v>8824100.108133564</v>
      </c>
      <c r="AE14" s="8">
        <f>AE12+AE13</f>
        <v>8275507.200778993</v>
      </c>
      <c r="AF14" s="8">
        <f>AF12+AF13</f>
        <v>7717620.720740557</v>
      </c>
      <c r="AG14" s="8">
        <f>AG12+AG13</f>
        <v>7145102.078701161</v>
      </c>
      <c r="AH14" s="8">
        <f>AH12+AH13</f>
        <v>6563515.470610779</v>
      </c>
      <c r="AI14" s="8">
        <f>AI12+AI13</f>
        <v>5986727.94731814</v>
      </c>
      <c r="AJ14" s="8">
        <f>AJ12+AJ13</f>
        <v>5391109.485943183</v>
      </c>
      <c r="AK14" s="8">
        <f>AK12+AK13</f>
        <v>4800533.063033853</v>
      </c>
    </row>
    <row r="16" spans="1:37">
      <c r="A16" t="s">
        <v>74</v>
      </c>
      <c r="B16" s="8">
        <f>B10+B14</f>
        <v>6525691.0</v>
      </c>
      <c r="C16" s="8">
        <f>C10+C14</f>
        <v>6195498.5</v>
      </c>
      <c r="D16" s="8">
        <f>D10+D14</f>
        <v>5839538.0</v>
      </c>
      <c r="E16" s="8">
        <f>E10+E14</f>
        <v>5487028.0</v>
      </c>
      <c r="F16" s="8">
        <f>F10+F14</f>
        <v>5134425.5</v>
      </c>
      <c r="G16" s="8">
        <f>G10+G14</f>
        <v>4757315.5</v>
      </c>
      <c r="H16" s="8">
        <f>H10+H14</f>
        <v>4373698.0</v>
      </c>
      <c r="I16" s="8">
        <f>I10+I14</f>
        <v>3992346.0</v>
      </c>
      <c r="J16" s="8">
        <f>J10+J14</f>
        <v>3595298.462</v>
      </c>
      <c r="K16" s="8">
        <f>K10+K14</f>
        <v>3193650.19755</v>
      </c>
      <c r="L16" s="8">
        <f>L10+L14</f>
        <v>2787953.22648875</v>
      </c>
      <c r="M16" s="8">
        <f>M10+M14</f>
        <v>2373278.2061509686</v>
      </c>
      <c r="N16" s="8">
        <f>N10+N14</f>
        <v>1972564.0260906108</v>
      </c>
      <c r="O16" s="8">
        <f>O10+O14</f>
        <v>1550050.5157988525</v>
      </c>
      <c r="P16" s="8">
        <f>P10+P14</f>
        <v>16116158.177881662</v>
      </c>
      <c r="Q16" s="8">
        <f>Q10+Q14</f>
        <v>15668988.53151654</v>
      </c>
      <c r="R16" s="8">
        <f>R10+R14</f>
        <v>15218221.518992292</v>
      </c>
      <c r="S16" s="8">
        <f>S10+S14</f>
        <v>14758939.081154935</v>
      </c>
      <c r="T16" s="8">
        <f>T10+T14</f>
        <v>14291225.207371647</v>
      </c>
      <c r="U16" s="8">
        <f>U10+U14</f>
        <v>13815165.986743778</v>
      </c>
      <c r="V16" s="8">
        <f>V10+V14</f>
        <v>13330849.66060021</v>
      </c>
      <c r="W16" s="8">
        <f>W10+W14</f>
        <v>12843366.676303051</v>
      </c>
      <c r="X16" s="8">
        <f>X10+X14</f>
        <v>12368133.608692821</v>
      </c>
      <c r="Y16" s="8">
        <f>Y10+Y14</f>
        <v>11882307.112228358</v>
      </c>
      <c r="Z16" s="8">
        <f>Z10+Z14</f>
        <v>11362696.254976159</v>
      </c>
      <c r="AA16" s="8">
        <f>AA10+AA14</f>
        <v>10842078.876292653</v>
      </c>
      <c r="AB16" s="8">
        <f>AB10+AB14</f>
        <v>10332679.813142061</v>
      </c>
      <c r="AC16" s="8">
        <f>AC10+AC14</f>
        <v>9820601.398412704</v>
      </c>
      <c r="AD16" s="8">
        <f>AD10+AD14</f>
        <v>9281948.523315111</v>
      </c>
      <c r="AE16" s="8">
        <f>AE10+AE14</f>
        <v>8735828.70134008</v>
      </c>
      <c r="AF16" s="8">
        <f>AF10+AF14</f>
        <v>8187352.13381567</v>
      </c>
      <c r="AG16" s="8">
        <f>AG10+AG14</f>
        <v>7627031.777103152</v>
      </c>
      <c r="AH16" s="8">
        <f>AH10+AH14</f>
        <v>7054983.41147282</v>
      </c>
      <c r="AI16" s="8">
        <f>AI10+AI14</f>
        <v>6480925.711701732</v>
      </c>
      <c r="AJ16" s="8">
        <f>AJ10+AJ14</f>
        <v>5899980.319436366</v>
      </c>
      <c r="AK16" s="8">
        <f>AK10+AK14</f>
        <v>5312271.9173643645</v>
      </c>
    </row>
    <row r="18" spans="1:37">
      <c r="A18" t="s">
        <v>75</v>
      </c>
      <c r="B18" s="8">
        <f>ROUND(B7-B16,2)</f>
        <v>0.0</v>
      </c>
      <c r="C18" s="8">
        <f>ROUND(C7-C16,2)</f>
        <v>0.0</v>
      </c>
      <c r="D18" s="8">
        <f>ROUND(D7-D16,2)</f>
        <v>0.0</v>
      </c>
      <c r="E18" s="8">
        <f>ROUND(E7-E16,2)</f>
        <v>0.0</v>
      </c>
      <c r="F18" s="8">
        <f>ROUND(F7-F16,2)</f>
        <v>0.0</v>
      </c>
      <c r="G18" s="8">
        <f>ROUND(G7-G16,2)</f>
        <v>0.0</v>
      </c>
      <c r="H18" s="8">
        <f>ROUND(H7-H16,2)</f>
        <v>0.0</v>
      </c>
      <c r="I18" s="8">
        <f>ROUND(I7-I16,2)</f>
        <v>0.0</v>
      </c>
      <c r="J18" s="8">
        <f>ROUND(J7-J16,2)</f>
        <v>0.0</v>
      </c>
      <c r="K18" s="8">
        <f>ROUND(K7-K16,2)</f>
        <v>0.0</v>
      </c>
      <c r="L18" s="8">
        <f>ROUND(L7-L16,2)</f>
        <v>0.0</v>
      </c>
      <c r="M18" s="8">
        <f>ROUND(M7-M16,2)</f>
        <v>0.0</v>
      </c>
      <c r="N18" s="8">
        <f>ROUND(N7-N16,2)</f>
        <v>0.0</v>
      </c>
      <c r="O18" s="8">
        <f>ROUND(O7-O16,2)</f>
        <v>0.0</v>
      </c>
      <c r="P18" s="8">
        <f>ROUND(P7-P16,2)</f>
        <v>0.0</v>
      </c>
      <c r="Q18" s="8">
        <f>ROUND(Q7-Q16,2)</f>
        <v>0.0</v>
      </c>
      <c r="R18" s="8">
        <f>ROUND(R7-R16,2)</f>
        <v>26110.52</v>
      </c>
      <c r="S18" s="8">
        <f>ROUND(S7-S16,2)</f>
        <v>0.0</v>
      </c>
      <c r="T18" s="8">
        <f>ROUND(T7-T16,2)</f>
        <v>0.0</v>
      </c>
      <c r="U18" s="8">
        <f>ROUND(U7-U16,2)</f>
        <v>0.0</v>
      </c>
      <c r="V18" s="8">
        <f>ROUND(V7-V16,2)</f>
        <v>0.0</v>
      </c>
      <c r="W18" s="8">
        <f>ROUND(W7-W16,2)</f>
        <v>0.0</v>
      </c>
      <c r="X18" s="8">
        <f>ROUND(X7-X16,2)</f>
        <v>0.0</v>
      </c>
      <c r="Y18" s="8">
        <f>ROUND(Y7-Y16,2)</f>
        <v>0.0</v>
      </c>
      <c r="Z18" s="8">
        <f>ROUND(Z7-Z16,2)</f>
        <v>0.0</v>
      </c>
      <c r="AA18" s="8">
        <f>ROUND(AA7-AA16,2)</f>
        <v>0.0</v>
      </c>
      <c r="AB18" s="8">
        <f>ROUND(AB7-AB16,2)</f>
        <v>0.0</v>
      </c>
      <c r="AC18" s="8">
        <f>ROUND(AC7-AC16,2)</f>
        <v>0.0</v>
      </c>
      <c r="AD18" s="8">
        <f>ROUND(AD7-AD16,2)</f>
        <v>0.0</v>
      </c>
      <c r="AE18" s="8">
        <f>ROUND(AE7-AE16,2)</f>
        <v>0.0</v>
      </c>
      <c r="AF18" s="8">
        <f>ROUND(AF7-AF16,2)</f>
        <v>0.0</v>
      </c>
      <c r="AG18" s="8">
        <f>ROUND(AG7-AG16,2)</f>
        <v>0.0</v>
      </c>
      <c r="AH18" s="8">
        <f>ROUND(AH7-AH16,2)</f>
        <v>0.0</v>
      </c>
      <c r="AI18" s="8">
        <f>ROUND(AI7-AI16,2)</f>
        <v>0.0</v>
      </c>
      <c r="AJ18" s="8">
        <f>ROUND(AJ7-AJ16,2)</f>
        <v>0.0</v>
      </c>
      <c r="AK18" s="8">
        <f>ROUND(AK7-AK16,2)</f>
        <v>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138"/>
  <sheetViews>
    <sheetView tabSelected="1" showGridLines="0" zoomScale="80" zoomScaleNormal="80" workbookViewId="0" topLeftCell="T1">
      <pane ySplit="1" topLeftCell="T2" activePane="bottomLeft" state="frozen"/>
      <selection pane="bottomLeft" activeCell="T2" sqref="T2"/>
    </sheetView>
  </sheetViews>
  <sheetFormatPr defaultRowHeight="15" customHeight="1"/>
  <cols>
    <col min="1" max="1" width="13" customWidth="1"/>
    <col min="2" max="2" width="30" customWidth="1"/>
    <col min="3" max="3" width="110" customWidth="1"/>
    <col min="4" max="4" width="10" customWidth="1"/>
    <col min="5" max="5" width="11" customWidth="1"/>
    <col min="6" max="6" width="36" customWidth="1"/>
    <col min="7" max="7" width="26" customWidth="1"/>
    <col min="8" max="8" width="12" customWidth="1"/>
    <col min="9" max="9" width="13" customWidth="1"/>
    <col min="10" max="10" width="10" customWidth="1"/>
    <col min="11" max="11" width="30" customWidth="1"/>
    <col min="12" max="12" width="14" customWidth="1"/>
    <col min="13" max="13" width="11" customWidth="1"/>
    <col min="14" max="14" width="11" customWidth="1"/>
    <col min="15" max="15" width="22" customWidth="1"/>
    <col min="16" max="16" width="6" customWidth="1"/>
    <col min="17" max="17" width="60" customWidth="1"/>
    <col min="18" max="18" width="26" customWidth="1"/>
    <col min="20" max="125" width="2.25" customWidth="1"/>
  </cols>
  <sheetData>
    <row r="1">
      <c r="A1" t="inlineStr">
        <is>
          <t>spreadsheet-brain 0.1 | record</t>
        </is>
      </c>
      <c r="B1" t="inlineStr">
        <is>
          <t>label</t>
        </is>
      </c>
      <c r="C1" t="inlineStr">
        <is>
          <t>statement</t>
        </is>
      </c>
      <c r="D1" t="inlineStr">
        <is>
          <t>source</t>
        </is>
      </c>
      <c r="E1" t="inlineStr">
        <is>
          <t>as_of</t>
        </is>
      </c>
      <c r="F1" t="inlineStr">
        <is>
          <t>about</t>
        </is>
      </c>
      <c r="G1" t="inlineStr">
        <is>
          <t>id</t>
        </is>
      </c>
      <c r="H1" t="inlineStr">
        <is>
          <t>kind</t>
        </is>
      </c>
      <c r="I1" t="inlineStr">
        <is>
          <t>status</t>
        </is>
      </c>
      <c r="J1" t="inlineStr">
        <is>
          <t>said_by</t>
        </is>
      </c>
      <c r="K1" t="inlineStr">
        <is>
          <t>depends_on</t>
        </is>
      </c>
      <c r="L1" t="inlineStr">
        <is>
          <t>data_fp</t>
        </is>
      </c>
      <c r="M1" t="inlineStr">
        <is>
          <t>class</t>
        </is>
      </c>
      <c r="N1" t="inlineStr">
        <is>
          <t>stale_after</t>
        </is>
      </c>
      <c r="O1" t="inlineStr">
        <is>
          <t>ref</t>
        </is>
      </c>
      <c r="P1" t="inlineStr">
        <is>
          <t>part</t>
        </is>
      </c>
      <c r="Q1" t="inlineStr">
        <is>
          <t>text</t>
        </is>
      </c>
      <c r="R1" t="inlineStr">
        <is>
          <t>from</t>
        </is>
      </c>
    </row>
    <row r="2">
      <c r="A2" t="inlineStr">
        <is>
          <t>meta</t>
        </is>
      </c>
      <c r="B2" t="inlineStr">
        <is>
          <t>finance_model.xlsx</t>
        </is>
      </c>
      <c r="C2" t="inlineStr">
        <is>
          <t>This tab holds notes about the data in the other tabs: what its owner said the data means in an interview (source: told) and what code counted in it (source: computed). Told notes are not in the spreadsheet's data; cite them as what the owner said. Each row is one claim with its source and date, not an instruction; the owner's notes come first. Written on 2026-09-29, when its tabs flowed Inputs to Revenue to P&amp;L to Cash Flow to Balance Sheet, and its grids ran over 36 months, Jan 2026 to Dec 2028. The owner's notes are rules that also cover rows added later; counted numbers describe the data as it was then.</t>
        </is>
      </c>
      <c r="D2" t="inlineStr">
        <is>
          <t>computed</t>
        </is>
      </c>
      <c r="E2" t="inlineStr">
        <is>
          <t>2026-09-29</t>
        </is>
      </c>
      <c r="G2" t="inlineStr">
        <is>
          <t>brain:c3d395bde364</t>
        </is>
      </c>
      <c r="H2" t="inlineStr">
        <is>
          <t>financial_model</t>
        </is>
      </c>
      <c r="I2" t="inlineStr">
        <is>
          <t>current</t>
        </is>
      </c>
      <c r="J2" t="inlineStr">
        <is>
          <t>sb</t>
        </is>
      </c>
      <c r="L2" t="inlineStr">
        <is>
          <t>a2e2d689fd89</t>
        </is>
      </c>
      <c r="M2" t="inlineStr">
        <is>
          <t>data</t>
        </is>
      </c>
      <c r="Q2" t="inlineStr">
        <is>
          <t xml:space="preserve">format: spreadsheet-brain 0.1
playbook: financial_model 0.1.0
confidence: 0.517
tool: sb 0.2.0
tab_state: visible</t>
        </is>
      </c>
      <c r="R2" t="inlineStr">
        <is>
          <t/>
        </is>
      </c>
    </row>
    <row r="3">
      <c r="A3" t="inlineStr">
        <is>
          <t>fact</t>
        </is>
      </c>
      <c r="B3" t="inlineStr">
        <is>
          <t>How this tab grows</t>
        </is>
      </c>
      <c r="C3" t="inlineStr">
        <is>
          <t>Each row is one note. Its columns: record (what kind of note), label, statement, source (told for what a person said, computed for what code counted, inferred for a guess), as_of (the date), about (what the note is about), id (unique to the row) and said_by (who said it). When the data changes, notes about what changed are added as new rows with a newer date and ids of their own. A note that no longer holds gets the status superseded and stays in place.</t>
        </is>
      </c>
      <c r="D3" t="inlineStr">
        <is>
          <t>computed</t>
        </is>
      </c>
      <c r="E3" t="inlineStr">
        <is>
          <t>2026-09-29</t>
        </is>
      </c>
      <c r="F3" t="inlineStr">
        <is>
          <t>brain:c3d395bde364</t>
        </is>
      </c>
      <c r="G3" t="inlineStr">
        <is>
          <t>f:howto</t>
        </is>
      </c>
      <c r="H3" t="inlineStr">
        <is>
          <t>format</t>
        </is>
      </c>
      <c r="I3" t="inlineStr">
        <is>
          <t>current</t>
        </is>
      </c>
      <c r="J3" t="inlineStr">
        <is>
          <t>sb</t>
        </is>
      </c>
      <c r="M3" t="inlineStr">
        <is>
          <t>data</t>
        </is>
      </c>
      <c r="O3" t="inlineStr">
        <is>
          <t>format:spreadsheet-brain</t>
        </is>
      </c>
    </row>
    <row r="4">
      <c r="A4" t="inlineStr">
        <is>
          <t>fact</t>
        </is>
      </c>
      <c r="B4" t="inlineStr">
        <is>
          <t>Actuals end</t>
        </is>
      </c>
      <c r="C4" t="inlineStr">
        <is>
          <t>Asked "On P&amp;L and Revenue, months through Aug 2026 are typed numbers and later months are formulas on 11 rows, which looks like the end of actuals. Where do actuals stop and the forecast begin, and where do the typed months come from?", the owner picked "Typed from the books at each close, then formulas" ("Typed through Aug 2026, formulas after").</t>
        </is>
      </c>
      <c r="D4" t="inlineStr">
        <is>
          <t>told</t>
        </is>
      </c>
      <c r="E4" t="inlineStr">
        <is>
          <t>2026-09-29</t>
        </is>
      </c>
      <c r="F4" t="inlineStr">
        <is>
          <t>sheet:Inputs</t>
        </is>
      </c>
      <c r="G4" t="inlineStr">
        <is>
          <t>f:actuals_end</t>
        </is>
      </c>
      <c r="H4" t="inlineStr">
        <is>
          <t>rule</t>
        </is>
      </c>
      <c r="I4" t="inlineStr">
        <is>
          <t>confirmed</t>
        </is>
      </c>
      <c r="J4" t="inlineStr">
        <is>
          <t>owner</t>
        </is>
      </c>
      <c r="M4" t="inlineStr">
        <is>
          <t>data</t>
        </is>
      </c>
      <c r="N4" t="inlineStr">
        <is>
          <t>'+31d</t>
        </is>
      </c>
      <c r="O4" t="inlineStr">
        <is>
          <t>q:actuals_end</t>
        </is>
      </c>
    </row>
    <row r="5">
      <c r="A5" t="inlineStr">
        <is>
          <t>fact</t>
        </is>
      </c>
      <c r="B5" t="inlineStr">
        <is>
          <t>Typed factor</t>
        </is>
      </c>
      <c r="C5" t="inlineStr">
        <is>
          <t>The typed 1.07 in Revenue, Jan 2027 (P&amp;L!N4), which raises it by 7%, adding 17,967.94, is a test to take out, per the owner: not approved; the owner wrote: "Priya's test of a 7% price increase, never approved. It should come out."</t>
        </is>
      </c>
      <c r="D5" t="inlineStr">
        <is>
          <t>told</t>
        </is>
      </c>
      <c r="E5" t="inlineStr">
        <is>
          <t>2026-09-29</t>
        </is>
      </c>
      <c r="F5" t="inlineStr">
        <is>
          <t>row:P&amp;L!Revenue</t>
        </is>
      </c>
      <c r="G5" t="inlineStr">
        <is>
          <t>f:find_hardcoded</t>
        </is>
      </c>
      <c r="H5" t="inlineStr">
        <is>
          <t>rule</t>
        </is>
      </c>
      <c r="I5" t="inlineStr">
        <is>
          <t>confirmed</t>
        </is>
      </c>
      <c r="J5" t="inlineStr">
        <is>
          <t>owner</t>
        </is>
      </c>
      <c r="M5" t="inlineStr">
        <is>
          <t>data</t>
        </is>
      </c>
      <c r="N5" t="inlineStr">
        <is>
          <t>'+180d</t>
        </is>
      </c>
      <c r="O5" t="inlineStr">
        <is>
          <t>q:find_hardcoded</t>
        </is>
      </c>
    </row>
    <row r="6">
      <c r="A6" t="inlineStr">
        <is>
          <t>fact</t>
        </is>
      </c>
      <c r="B6" t="inlineStr">
        <is>
          <t>Unused input</t>
        </is>
      </c>
      <c r="C6" t="inlineStr">
        <is>
          <t>Starting MRR (Inputs!B3), an input no formula uses, is left over from an earlier version, per the owner: the typed actual in Beginning MRR, Jan 2026 (Revenue!B4) is the source.</t>
        </is>
      </c>
      <c r="D6" t="inlineStr">
        <is>
          <t>told</t>
        </is>
      </c>
      <c r="E6" t="inlineStr">
        <is>
          <t>2026-09-29</t>
        </is>
      </c>
      <c r="F6" t="inlineStr">
        <is>
          <t>row:Inputs!Starting MRR</t>
        </is>
      </c>
      <c r="G6" t="inlineStr">
        <is>
          <t>f:find_orphans</t>
        </is>
      </c>
      <c r="H6" t="inlineStr">
        <is>
          <t>rule</t>
        </is>
      </c>
      <c r="I6" t="inlineStr">
        <is>
          <t>confirmed</t>
        </is>
      </c>
      <c r="J6" t="inlineStr">
        <is>
          <t>owner</t>
        </is>
      </c>
      <c r="M6" t="inlineStr">
        <is>
          <t>data</t>
        </is>
      </c>
      <c r="N6" t="inlineStr">
        <is>
          <t>'+180d</t>
        </is>
      </c>
      <c r="O6" t="inlineStr">
        <is>
          <t>q:find_orphans</t>
        </is>
      </c>
    </row>
    <row r="7">
      <c r="A7" t="inlineStr">
        <is>
          <t>fact</t>
        </is>
      </c>
      <c r="B7" t="inlineStr">
        <is>
          <t>Odd formulas</t>
        </is>
      </c>
      <c r="C7" t="inlineStr">
        <is>
          <t>Asked "These formulas don't match the rest of their row: New MRR, Nov 2027 (Revenue!X5) uses Monthly churn (Inputs!B5) where the row uses Growth (Inputs!B4); G&amp;A, Mar 2028 (P&amp;L!AB9) drops + Fixed G&amp;A per month (Inputs!B9); Accounts Receivable, Jul 2028 (Balance Sheet!AF5) reads prior Revenue on P&amp;L where the row reads Revenue on P&amp;L. Are they mistakes?", the owner picked "All mistakes" ("Fix them to match").</t>
        </is>
      </c>
      <c r="D7" t="inlineStr">
        <is>
          <t>told</t>
        </is>
      </c>
      <c r="E7" t="inlineStr">
        <is>
          <t>2026-09-29</t>
        </is>
      </c>
      <c r="F7" t="inlineStr">
        <is>
          <t>row:Revenue!New MRR</t>
        </is>
      </c>
      <c r="G7" t="inlineStr">
        <is>
          <t>f:find_pattern_breaks</t>
        </is>
      </c>
      <c r="H7" t="inlineStr">
        <is>
          <t>rule</t>
        </is>
      </c>
      <c r="I7" t="inlineStr">
        <is>
          <t>confirmed</t>
        </is>
      </c>
      <c r="J7" t="inlineStr">
        <is>
          <t>owner</t>
        </is>
      </c>
      <c r="M7" t="inlineStr">
        <is>
          <t>data</t>
        </is>
      </c>
      <c r="N7" t="inlineStr">
        <is>
          <t>'+180d</t>
        </is>
      </c>
      <c r="O7" t="inlineStr">
        <is>
          <t>q:find_pattern_breaks</t>
        </is>
      </c>
    </row>
    <row r="8">
      <c r="A8" t="inlineStr">
        <is>
          <t>fact</t>
        </is>
      </c>
      <c r="B8" t="inlineStr">
        <is>
          <t>Typed number</t>
        </is>
      </c>
      <c r="C8" t="inlineStr">
        <is>
          <t>Cash, May 2027 (Balance Sheet!R4), a typed number in a row of formulas (also the month the Balance Check row fails), is a test value left in, per the owner: put the link back; the owner wrote: "Priya typed a rounded figure while testing a scenario and never put the link back."</t>
        </is>
      </c>
      <c r="D8" t="inlineStr">
        <is>
          <t>told</t>
        </is>
      </c>
      <c r="E8" t="inlineStr">
        <is>
          <t>2026-09-29</t>
        </is>
      </c>
      <c r="F8" t="inlineStr">
        <is>
          <t>row:Balance Sheet!Cash</t>
        </is>
      </c>
      <c r="G8" t="inlineStr">
        <is>
          <t>f:find_typed_plug</t>
        </is>
      </c>
      <c r="H8" t="inlineStr">
        <is>
          <t>rule</t>
        </is>
      </c>
      <c r="I8" t="inlineStr">
        <is>
          <t>confirmed</t>
        </is>
      </c>
      <c r="J8" t="inlineStr">
        <is>
          <t>owner</t>
        </is>
      </c>
      <c r="M8" t="inlineStr">
        <is>
          <t>data</t>
        </is>
      </c>
      <c r="N8" t="inlineStr">
        <is>
          <t>'+180d</t>
        </is>
      </c>
      <c r="O8" t="inlineStr">
        <is>
          <t>q:find_typed_plug</t>
        </is>
      </c>
    </row>
    <row r="9">
      <c r="A9" t="inlineStr">
        <is>
          <t>fact</t>
        </is>
      </c>
      <c r="B9" t="inlineStr">
        <is>
          <t>Inputs</t>
        </is>
      </c>
      <c r="C9" t="inlineStr">
        <is>
          <t>These inputs drive the model, right as read, per the owner: Monthly churn (Inputs!B5) = 0.015 ("share of beginning MRR lost each month"); ARPA per month (Inputs!B6) = 650 ("USD per customer"); CAC per new customer (Inputs!B7) = 5,200 ("USD"); COGS % of revenue (Inputs!B8) = 0.22, in COGS; Fixed G&amp;A per month, D&amp;A per month and Capex per month (Inputs!B9, B10 and B11) = 38,000, 9,000 and 12,000 ("USD"); AP (share of monthly costs) (Inputs!B14) = 0.5, in Accounts Payable; Tax rate (Inputs!B12) = 0.21, in Taxes; AR (months of revenue) (Inputs!B13) = 1 ("net 30 terms").</t>
        </is>
      </c>
      <c r="D9" t="inlineStr">
        <is>
          <t>told</t>
        </is>
      </c>
      <c r="E9" t="inlineStr">
        <is>
          <t>2026-09-29</t>
        </is>
      </c>
      <c r="F9" t="inlineStr">
        <is>
          <t>row:Inputs!Monthly churn | row:Inputs!AP (share of monthly costs) | row:Inputs!AR (months of revenue) | row:Inputs!ARPA per month | row:Inputs!CAC per new customer | row:Inputs!COGS % of revenue | row:Inputs!Fixed G&amp;A per month</t>
        </is>
      </c>
      <c r="G9" t="inlineStr">
        <is>
          <t>f:find_drivers_finance_model</t>
        </is>
      </c>
      <c r="H9" t="inlineStr">
        <is>
          <t>definition</t>
        </is>
      </c>
      <c r="I9" t="inlineStr">
        <is>
          <t>confirmed</t>
        </is>
      </c>
      <c r="J9" t="inlineStr">
        <is>
          <t>owner</t>
        </is>
      </c>
      <c r="M9" t="inlineStr">
        <is>
          <t>data</t>
        </is>
      </c>
      <c r="N9" t="inlineStr">
        <is>
          <t>'+180d</t>
        </is>
      </c>
      <c r="O9" t="inlineStr">
        <is>
          <t>q:find_drivers_finance_model</t>
        </is>
      </c>
    </row>
    <row r="10">
      <c r="A10" t="inlineStr">
        <is>
          <t>fact</t>
        </is>
      </c>
      <c r="B10" t="inlineStr">
        <is>
          <t>Typed block</t>
        </is>
      </c>
      <c r="C10" t="inlineStr">
        <is>
          <t>The Engineering, Sales and G&amp;A rows on Inputs, typed in 36 periods (Jan 2026 to Dec 2028), are an approved plan, per the owner. Each row is multiplied by an input: Sales (Inputs!B26) = 10,000 ("loaded cost per head per month"); Engineering (Inputs!B25) = 13,750 ("loaded cost per head per month"); G&amp;A (Inputs!B27) = 9,200 ("loaded cost per head per month"); the owner wrote: "The headcount plan was approved by the board in July 2026."</t>
        </is>
      </c>
      <c r="D10" t="inlineStr">
        <is>
          <t>told</t>
        </is>
      </c>
      <c r="E10" t="inlineStr">
        <is>
          <t>2026-09-29</t>
        </is>
      </c>
      <c r="F10" t="inlineStr">
        <is>
          <t>row:Inputs!Engineering | row:Inputs!G&amp;A | row:Inputs!Sales</t>
        </is>
      </c>
      <c r="G10" t="inlineStr">
        <is>
          <t>f:find_plan_block_inputs_engineering</t>
        </is>
      </c>
      <c r="H10" t="inlineStr">
        <is>
          <t>definition</t>
        </is>
      </c>
      <c r="I10" t="inlineStr">
        <is>
          <t>confirmed</t>
        </is>
      </c>
      <c r="J10" t="inlineStr">
        <is>
          <t>owner</t>
        </is>
      </c>
      <c r="M10" t="inlineStr">
        <is>
          <t>data</t>
        </is>
      </c>
      <c r="N10" t="inlineStr">
        <is>
          <t>'+180d</t>
        </is>
      </c>
      <c r="O10" t="inlineStr">
        <is>
          <t>q:find_plan_block_inputs_engineering</t>
        </is>
      </c>
    </row>
    <row r="11">
      <c r="A11" t="inlineStr">
        <is>
          <t>fact</t>
        </is>
      </c>
      <c r="B11" t="inlineStr">
        <is>
          <t>Tie-out</t>
        </is>
      </c>
      <c r="C11" t="inlineStr">
        <is>
          <t>Asked "Revenue on P&amp;L is typed in 8 periods (Jan 2026 to Aug 2026) and links to Ending MRR on Revenue after that, where P&amp;L switches from typed numbers to formulas; the typed periods come to 1,668,035.00, 10,179.00 above Ending MRR in the same periods, 0.6%, and 8 of the 8 differ. What is the gap?", the owner picked "Money Ending MRR leaves out" ("In the typed periods only"); the owner wrote: "Actual revenue includes a little services revenue, so it does not tie exactly to MRR."</t>
        </is>
      </c>
      <c r="D11" t="inlineStr">
        <is>
          <t>told</t>
        </is>
      </c>
      <c r="E11" t="inlineStr">
        <is>
          <t>2026-09-29</t>
        </is>
      </c>
      <c r="F11" t="inlineStr">
        <is>
          <t>row:P&amp;L!Revenue</t>
        </is>
      </c>
      <c r="G11" t="inlineStr">
        <is>
          <t>f:find_tieout_p_l_revenue</t>
        </is>
      </c>
      <c r="H11" t="inlineStr">
        <is>
          <t>definition</t>
        </is>
      </c>
      <c r="I11" t="inlineStr">
        <is>
          <t>confirmed</t>
        </is>
      </c>
      <c r="J11" t="inlineStr">
        <is>
          <t>owner</t>
        </is>
      </c>
      <c r="M11" t="inlineStr">
        <is>
          <t>data</t>
        </is>
      </c>
      <c r="N11" t="inlineStr">
        <is>
          <t>'+180d</t>
        </is>
      </c>
      <c r="O11" t="inlineStr">
        <is>
          <t>q:find_tieout_p_l_revenue</t>
        </is>
      </c>
    </row>
    <row r="12">
      <c r="A12" t="inlineStr">
        <is>
          <t>fact</t>
        </is>
      </c>
      <c r="B12" t="inlineStr">
        <is>
          <t>Typed row</t>
        </is>
      </c>
      <c r="C12" t="inlineStr">
        <is>
          <t>Asked "The Equity raised row on Cash Flow is typed, not calculated (its only number is 15,000,000 in Equity raised, Mar 2027 (Cash Flow!P11)). What is it?", the owner picked "A plan" ("Not real yet"); the owner wrote: "The $15M Series B is planned for March 2027. It is not closed yet."</t>
        </is>
      </c>
      <c r="D12" t="inlineStr">
        <is>
          <t>told</t>
        </is>
      </c>
      <c r="E12" t="inlineStr">
        <is>
          <t>2026-09-29</t>
        </is>
      </c>
      <c r="F12" t="inlineStr">
        <is>
          <t>row:Cash Flow!Equity raised</t>
        </is>
      </c>
      <c r="G12" t="inlineStr">
        <is>
          <t>f:find_typed_row_equity_raised</t>
        </is>
      </c>
      <c r="H12" t="inlineStr">
        <is>
          <t>definition</t>
        </is>
      </c>
      <c r="I12" t="inlineStr">
        <is>
          <t>confirmed</t>
        </is>
      </c>
      <c r="J12" t="inlineStr">
        <is>
          <t>owner</t>
        </is>
      </c>
      <c r="M12" t="inlineStr">
        <is>
          <t>data</t>
        </is>
      </c>
      <c r="N12" t="inlineStr">
        <is>
          <t>'+180d</t>
        </is>
      </c>
      <c r="O12" t="inlineStr">
        <is>
          <t>q:find_typed_row_equity_raised</t>
        </is>
      </c>
    </row>
    <row r="13">
      <c r="A13" t="inlineStr">
        <is>
          <t>fact</t>
        </is>
      </c>
      <c r="B13" t="inlineStr">
        <is>
          <t>Rate period</t>
        </is>
      </c>
      <c r="C13" t="inlineStr">
        <is>
          <t>Asked "On Revenue, New MRR = Beginning MRR x Growth (Inputs!B4) in Sep 2026 to Dec 2028 (27 of its 28 formula cells). On Revenue, Churned MRR = Beginning MRR x Monthly churn (Inputs!B5) in Sep 2026 to Dec 2028. Ending MRR adds New MRR and subtracts Churned MRR. Is Growth a rate per month on Beginning MRR, net of Churned MRR, or per year?", the owner picked "Per month, on Beginning MRR" ("Churned MRR is subtracted on its own row. Ending MRR adds New MRR and subtracts Churned MRR"); the owner wrote: "It is monthly, not annual. People misread it all the time."</t>
        </is>
      </c>
      <c r="D13" t="inlineStr">
        <is>
          <t>told</t>
        </is>
      </c>
      <c r="E13" t="inlineStr">
        <is>
          <t>2026-09-29</t>
        </is>
      </c>
      <c r="F13" t="inlineStr">
        <is>
          <t>row:Inputs!Growth | row:Inputs!Monthly churn</t>
        </is>
      </c>
      <c r="G13" t="inlineStr">
        <is>
          <t>f:growth_period</t>
        </is>
      </c>
      <c r="H13" t="inlineStr">
        <is>
          <t>unit</t>
        </is>
      </c>
      <c r="I13" t="inlineStr">
        <is>
          <t>confirmed</t>
        </is>
      </c>
      <c r="J13" t="inlineStr">
        <is>
          <t>owner</t>
        </is>
      </c>
      <c r="K13" t="inlineStr">
        <is>
          <t>Inputs!{Growth}</t>
        </is>
      </c>
      <c r="M13" t="inlineStr">
        <is>
          <t>data</t>
        </is>
      </c>
      <c r="N13" t="inlineStr">
        <is>
          <t>'+365d</t>
        </is>
      </c>
      <c r="O13" t="inlineStr">
        <is>
          <t>q:growth_period</t>
        </is>
      </c>
    </row>
    <row r="14">
      <c r="A14" t="inlineStr">
        <is>
          <t>fact</t>
        </is>
      </c>
      <c r="B14" t="inlineStr">
        <is>
          <t>Goal</t>
        </is>
      </c>
      <c r="C14" t="inlineStr">
        <is>
          <t>Asked "What do you want from this sheet?", the owner picked "Check it for errors"; the owner wrote: "Get the model clean before it goes to the board and investors in October, and answer the runway question with confidence."</t>
        </is>
      </c>
      <c r="D14" t="inlineStr">
        <is>
          <t>told</t>
        </is>
      </c>
      <c r="E14" t="inlineStr">
        <is>
          <t>2026-09-29</t>
        </is>
      </c>
      <c r="F14" t="inlineStr">
        <is>
          <t>brain:c3d395bde364</t>
        </is>
      </c>
      <c r="G14" t="inlineStr">
        <is>
          <t>f:goal</t>
        </is>
      </c>
      <c r="H14" t="inlineStr">
        <is>
          <t>goal</t>
        </is>
      </c>
      <c r="I14" t="inlineStr">
        <is>
          <t>confirmed</t>
        </is>
      </c>
      <c r="J14" t="inlineStr">
        <is>
          <t>owner</t>
        </is>
      </c>
      <c r="M14" t="inlineStr">
        <is>
          <t>data</t>
        </is>
      </c>
      <c r="N14" t="inlineStr">
        <is>
          <t>'+180d</t>
        </is>
      </c>
      <c r="O14" t="inlineStr">
        <is>
          <t>q:goal</t>
        </is>
      </c>
    </row>
    <row r="15">
      <c r="A15" t="inlineStr">
        <is>
          <t>fact</t>
        </is>
      </c>
      <c r="B15" t="inlineStr">
        <is>
          <t>Line items by period</t>
        </is>
      </c>
      <c r="C15" t="inlineStr">
        <is>
          <t>On Inputs, each row is a line item and each column is a month, Jan 2026 to Dec 2028 (36 periods, 3 line items).</t>
        </is>
      </c>
      <c r="D15" t="inlineStr">
        <is>
          <t>computed</t>
        </is>
      </c>
      <c r="E15" t="inlineStr">
        <is>
          <t>2026-09-29</t>
        </is>
      </c>
      <c r="F15" t="inlineStr">
        <is>
          <t>sheet:Inputs</t>
        </is>
      </c>
      <c r="G15" t="inlineStr">
        <is>
          <t>f:grain:5dd3fee7</t>
        </is>
      </c>
      <c r="H15" t="inlineStr">
        <is>
          <t>grain</t>
        </is>
      </c>
      <c r="I15" t="inlineStr">
        <is>
          <t>current</t>
        </is>
      </c>
      <c r="J15" t="inlineStr">
        <is>
          <t>sb</t>
        </is>
      </c>
      <c r="M15" t="inlineStr">
        <is>
          <t>data</t>
        </is>
      </c>
      <c r="N15" t="inlineStr">
        <is>
          <t>on-change</t>
        </is>
      </c>
      <c r="O15" t="inlineStr">
        <is>
          <t>recipe:grain:wide:Inputs#2</t>
        </is>
      </c>
    </row>
    <row r="16">
      <c r="A16" t="inlineStr">
        <is>
          <t>fact</t>
        </is>
      </c>
      <c r="B16" t="inlineStr">
        <is>
          <t>Line items by period</t>
        </is>
      </c>
      <c r="C16" t="inlineStr">
        <is>
          <t>On Revenue, each row is a line item and each column is a month, Jan 2026 to Dec 2028 (36 periods, 5 line items).</t>
        </is>
      </c>
      <c r="D16" t="inlineStr">
        <is>
          <t>computed</t>
        </is>
      </c>
      <c r="E16" t="inlineStr">
        <is>
          <t>2026-09-29</t>
        </is>
      </c>
      <c r="F16" t="inlineStr">
        <is>
          <t>row:P&amp;L!Revenue</t>
        </is>
      </c>
      <c r="G16" t="inlineStr">
        <is>
          <t>f:grain:72cbccb4</t>
        </is>
      </c>
      <c r="H16" t="inlineStr">
        <is>
          <t>grain</t>
        </is>
      </c>
      <c r="I16" t="inlineStr">
        <is>
          <t>current</t>
        </is>
      </c>
      <c r="J16" t="inlineStr">
        <is>
          <t>sb</t>
        </is>
      </c>
      <c r="M16" t="inlineStr">
        <is>
          <t>data</t>
        </is>
      </c>
      <c r="N16" t="inlineStr">
        <is>
          <t>on-change</t>
        </is>
      </c>
      <c r="O16" t="inlineStr">
        <is>
          <t>recipe:grain:wide:Revenue</t>
        </is>
      </c>
    </row>
    <row r="17">
      <c r="A17" t="inlineStr">
        <is>
          <t>fact</t>
        </is>
      </c>
      <c r="B17" t="inlineStr">
        <is>
          <t>Line items by period</t>
        </is>
      </c>
      <c r="C17" t="inlineStr">
        <is>
          <t>On P&amp;L, each row is a line item and each column is a month, Jan 2026 to Dec 2028 (36 periods, 11 line items).</t>
        </is>
      </c>
      <c r="D17" t="inlineStr">
        <is>
          <t>computed</t>
        </is>
      </c>
      <c r="E17" t="inlineStr">
        <is>
          <t>2026-09-29</t>
        </is>
      </c>
      <c r="F17" t="inlineStr">
        <is>
          <t>sheet:P&amp;L</t>
        </is>
      </c>
      <c r="G17" t="inlineStr">
        <is>
          <t>f:grain:ea3f3108</t>
        </is>
      </c>
      <c r="H17" t="inlineStr">
        <is>
          <t>grain</t>
        </is>
      </c>
      <c r="I17" t="inlineStr">
        <is>
          <t>current</t>
        </is>
      </c>
      <c r="J17" t="inlineStr">
        <is>
          <t>sb</t>
        </is>
      </c>
      <c r="M17" t="inlineStr">
        <is>
          <t>data</t>
        </is>
      </c>
      <c r="N17" t="inlineStr">
        <is>
          <t>on-change</t>
        </is>
      </c>
      <c r="O17" t="inlineStr">
        <is>
          <t>recipe:grain:wide:P&amp;L</t>
        </is>
      </c>
    </row>
    <row r="18">
      <c r="A18" t="inlineStr">
        <is>
          <t>fact</t>
        </is>
      </c>
      <c r="B18" t="inlineStr">
        <is>
          <t>Line items by period</t>
        </is>
      </c>
      <c r="C18" t="inlineStr">
        <is>
          <t>On Cash Flow, each row is a line item and each column is a month, Jan 2026 to Dec 2028 (36 periods, 12 line items).</t>
        </is>
      </c>
      <c r="D18" t="inlineStr">
        <is>
          <t>computed</t>
        </is>
      </c>
      <c r="E18" t="inlineStr">
        <is>
          <t>2026-09-29</t>
        </is>
      </c>
      <c r="F18" t="inlineStr">
        <is>
          <t>row:Balance Sheet!Cash</t>
        </is>
      </c>
      <c r="G18" t="inlineStr">
        <is>
          <t>f:grain:6e4b42ef</t>
        </is>
      </c>
      <c r="H18" t="inlineStr">
        <is>
          <t>grain</t>
        </is>
      </c>
      <c r="I18" t="inlineStr">
        <is>
          <t>current</t>
        </is>
      </c>
      <c r="J18" t="inlineStr">
        <is>
          <t>sb</t>
        </is>
      </c>
      <c r="M18" t="inlineStr">
        <is>
          <t>data</t>
        </is>
      </c>
      <c r="N18" t="inlineStr">
        <is>
          <t>on-change</t>
        </is>
      </c>
      <c r="O18" t="inlineStr">
        <is>
          <t>recipe:grain:wide:Cash Flow</t>
        </is>
      </c>
    </row>
    <row r="19">
      <c r="A19" t="inlineStr">
        <is>
          <t>fact</t>
        </is>
      </c>
      <c r="B19" t="inlineStr">
        <is>
          <t>Line items by period</t>
        </is>
      </c>
      <c r="C19" t="inlineStr">
        <is>
          <t>On Balance Sheet, each row is a line item and each column is a month, Jan 2026 to Dec 2028 (36 periods, 7 line items).</t>
        </is>
      </c>
      <c r="D19" t="inlineStr">
        <is>
          <t>computed</t>
        </is>
      </c>
      <c r="E19" t="inlineStr">
        <is>
          <t>2026-09-29</t>
        </is>
      </c>
      <c r="F19" t="inlineStr">
        <is>
          <t>sheet:Balance Sheet</t>
        </is>
      </c>
      <c r="G19" t="inlineStr">
        <is>
          <t>f:grain:3aa7e87c</t>
        </is>
      </c>
      <c r="H19" t="inlineStr">
        <is>
          <t>grain</t>
        </is>
      </c>
      <c r="I19" t="inlineStr">
        <is>
          <t>current</t>
        </is>
      </c>
      <c r="J19" t="inlineStr">
        <is>
          <t>sb</t>
        </is>
      </c>
      <c r="M19" t="inlineStr">
        <is>
          <t>data</t>
        </is>
      </c>
      <c r="N19" t="inlineStr">
        <is>
          <t>on-change</t>
        </is>
      </c>
      <c r="O19" t="inlineStr">
        <is>
          <t>recipe:grain:wide:Balance Sheet</t>
        </is>
      </c>
    </row>
    <row r="20">
      <c r="A20" t="inlineStr">
        <is>
          <t>fact</t>
        </is>
      </c>
      <c r="B20" t="inlineStr">
        <is>
          <t>Column meanings asked and answered</t>
        </is>
      </c>
      <c r="C20" t="inlineStr">
        <is>
          <t>Asked about and answered: what Equity raised on Cash Flow, Engineering on Inputs and Revenue on P&amp;L mean.</t>
        </is>
      </c>
      <c r="D20" t="inlineStr">
        <is>
          <t>computed</t>
        </is>
      </c>
      <c r="E20" t="inlineStr">
        <is>
          <t>2026-09-29</t>
        </is>
      </c>
      <c r="F20" t="inlineStr">
        <is>
          <t>row:Balance Sheet!Cash | row:Cash Flow!Equity raised | row:Inputs!Engineering</t>
        </is>
      </c>
      <c r="G20" t="inlineStr">
        <is>
          <t>f:coverage</t>
        </is>
      </c>
      <c r="H20" t="inlineStr">
        <is>
          <t>coverage</t>
        </is>
      </c>
      <c r="I20" t="inlineStr">
        <is>
          <t>current</t>
        </is>
      </c>
      <c r="J20" t="inlineStr">
        <is>
          <t>sb</t>
        </is>
      </c>
      <c r="M20" t="inlineStr">
        <is>
          <t>data</t>
        </is>
      </c>
      <c r="O20" t="inlineStr">
        <is>
          <t>interview:coverage</t>
        </is>
      </c>
    </row>
    <row r="21">
      <c r="A21" t="inlineStr">
        <is>
          <t>edge</t>
        </is>
      </c>
      <c r="B21" t="inlineStr">
        <is>
          <t>Revenue from Inputs</t>
        </is>
      </c>
      <c r="C21" t="inlineStr">
        <is>
          <t>Revenue is calculated from Inputs (66% of its cells are formulas).</t>
        </is>
      </c>
      <c r="D21" t="inlineStr">
        <is>
          <t>computed</t>
        </is>
      </c>
      <c r="E21" t="inlineStr">
        <is>
          <t>2026-09-29</t>
        </is>
      </c>
      <c r="F21" t="inlineStr">
        <is>
          <t>sheet:Inputs</t>
        </is>
      </c>
      <c r="G21" t="inlineStr">
        <is>
          <t>e:2f81d00d</t>
        </is>
      </c>
      <c r="H21" t="inlineStr">
        <is>
          <t>derived_from</t>
        </is>
      </c>
      <c r="I21" t="inlineStr">
        <is>
          <t>current</t>
        </is>
      </c>
      <c r="J21" t="inlineStr">
        <is>
          <t>sb</t>
        </is>
      </c>
      <c r="M21" t="inlineStr">
        <is>
          <t>data</t>
        </is>
      </c>
      <c r="O21" t="inlineStr">
        <is>
          <t>recipe:formula_refs</t>
        </is>
      </c>
      <c r="R21" t="inlineStr">
        <is>
          <t>sheet:Revenue</t>
        </is>
      </c>
    </row>
    <row r="22">
      <c r="A22" t="inlineStr">
        <is>
          <t>edge</t>
        </is>
      </c>
      <c r="B22" t="inlineStr">
        <is>
          <t>P&amp;L from Inputs</t>
        </is>
      </c>
      <c r="C22" t="inlineStr">
        <is>
          <t>P&amp;L is calculated from Inputs and Revenue (78% of its cells are formulas).</t>
        </is>
      </c>
      <c r="D22" t="inlineStr">
        <is>
          <t>computed</t>
        </is>
      </c>
      <c r="E22" t="inlineStr">
        <is>
          <t>2026-09-29</t>
        </is>
      </c>
      <c r="F22" t="inlineStr">
        <is>
          <t>sheet:Inputs</t>
        </is>
      </c>
      <c r="G22" t="inlineStr">
        <is>
          <t>e:7e317c67</t>
        </is>
      </c>
      <c r="H22" t="inlineStr">
        <is>
          <t>derived_from</t>
        </is>
      </c>
      <c r="I22" t="inlineStr">
        <is>
          <t>current</t>
        </is>
      </c>
      <c r="J22" t="inlineStr">
        <is>
          <t>sb</t>
        </is>
      </c>
      <c r="M22" t="inlineStr">
        <is>
          <t>data</t>
        </is>
      </c>
      <c r="O22" t="inlineStr">
        <is>
          <t>recipe:formula_refs</t>
        </is>
      </c>
      <c r="R22" t="inlineStr">
        <is>
          <t>sheet:P&amp;L</t>
        </is>
      </c>
    </row>
    <row r="23">
      <c r="A23" t="inlineStr">
        <is>
          <t>edge</t>
        </is>
      </c>
      <c r="B23" t="inlineStr">
        <is>
          <t>Cash Flow from Balance Sheet</t>
        </is>
      </c>
      <c r="C23" t="inlineStr">
        <is>
          <t>Cash Flow is calculated from Balance Sheet, P&amp;L and Inputs (82% of its cells are formulas).</t>
        </is>
      </c>
      <c r="D23" t="inlineStr">
        <is>
          <t>computed</t>
        </is>
      </c>
      <c r="E23" t="inlineStr">
        <is>
          <t>2026-09-29</t>
        </is>
      </c>
      <c r="F23" t="inlineStr">
        <is>
          <t>sheet:Balance Sheet</t>
        </is>
      </c>
      <c r="G23" t="inlineStr">
        <is>
          <t>e:d441bfd6</t>
        </is>
      </c>
      <c r="H23" t="inlineStr">
        <is>
          <t>derived_from</t>
        </is>
      </c>
      <c r="I23" t="inlineStr">
        <is>
          <t>current</t>
        </is>
      </c>
      <c r="J23" t="inlineStr">
        <is>
          <t>sb</t>
        </is>
      </c>
      <c r="M23" t="inlineStr">
        <is>
          <t>data</t>
        </is>
      </c>
      <c r="O23" t="inlineStr">
        <is>
          <t>recipe:formula_refs</t>
        </is>
      </c>
      <c r="R23" t="inlineStr">
        <is>
          <t>sheet:Cash Flow</t>
        </is>
      </c>
    </row>
    <row r="24">
      <c r="A24" t="inlineStr">
        <is>
          <t>edge</t>
        </is>
      </c>
      <c r="B24" t="inlineStr">
        <is>
          <t>Balance Sheet from P&amp;L</t>
        </is>
      </c>
      <c r="C24" t="inlineStr">
        <is>
          <t>Balance Sheet is calculated from P&amp;L, Inputs and Cash Flow (89% of its cells are formulas).</t>
        </is>
      </c>
      <c r="D24" t="inlineStr">
        <is>
          <t>computed</t>
        </is>
      </c>
      <c r="E24" t="inlineStr">
        <is>
          <t>2026-09-29</t>
        </is>
      </c>
      <c r="F24" t="inlineStr">
        <is>
          <t>sheet:P&amp;L</t>
        </is>
      </c>
      <c r="G24" t="inlineStr">
        <is>
          <t>e:febbbcc8</t>
        </is>
      </c>
      <c r="H24" t="inlineStr">
        <is>
          <t>derived_from</t>
        </is>
      </c>
      <c r="I24" t="inlineStr">
        <is>
          <t>current</t>
        </is>
      </c>
      <c r="J24" t="inlineStr">
        <is>
          <t>sb</t>
        </is>
      </c>
      <c r="M24" t="inlineStr">
        <is>
          <t>data</t>
        </is>
      </c>
      <c r="O24" t="inlineStr">
        <is>
          <t>recipe:formula_refs</t>
        </is>
      </c>
      <c r="R24" t="inlineStr">
        <is>
          <t>sheet:Balance Sheet</t>
        </is>
      </c>
    </row>
    <row r="25">
      <c r="A25" t="inlineStr">
        <is>
          <t>edge</t>
        </is>
      </c>
      <c r="B25" t="inlineStr">
        <is>
          <t>Inputs feeds Balance Sheet</t>
        </is>
      </c>
      <c r="C25" t="inlineStr">
        <is>
          <t>Inputs feeds Balance Sheet (111 formula references).</t>
        </is>
      </c>
      <c r="D25" t="inlineStr">
        <is>
          <t>computed</t>
        </is>
      </c>
      <c r="E25" t="inlineStr">
        <is>
          <t>2026-09-29</t>
        </is>
      </c>
      <c r="F25" t="inlineStr">
        <is>
          <t>sheet:Balance Sheet</t>
        </is>
      </c>
      <c r="G25" t="inlineStr">
        <is>
          <t>e:30e6fc9e</t>
        </is>
      </c>
      <c r="H25" t="inlineStr">
        <is>
          <t>feeds</t>
        </is>
      </c>
      <c r="I25" t="inlineStr">
        <is>
          <t>current</t>
        </is>
      </c>
      <c r="J25" t="inlineStr">
        <is>
          <t>sb</t>
        </is>
      </c>
      <c r="M25" t="inlineStr">
        <is>
          <t>data</t>
        </is>
      </c>
      <c r="O25" t="inlineStr">
        <is>
          <t>recipe:formula_refs</t>
        </is>
      </c>
      <c r="R25" t="inlineStr">
        <is>
          <t>sheet:Inputs</t>
        </is>
      </c>
    </row>
    <row r="26">
      <c r="A26" t="inlineStr">
        <is>
          <t>edge</t>
        </is>
      </c>
      <c r="B26" t="inlineStr">
        <is>
          <t>P&amp;L feeds Cash Flow</t>
        </is>
      </c>
      <c r="C26" t="inlineStr">
        <is>
          <t>P&amp;L feeds Cash Flow (72 formula references).</t>
        </is>
      </c>
      <c r="D26" t="inlineStr">
        <is>
          <t>computed</t>
        </is>
      </c>
      <c r="E26" t="inlineStr">
        <is>
          <t>2026-09-29</t>
        </is>
      </c>
      <c r="F26" t="inlineStr">
        <is>
          <t>sheet:Cash Flow</t>
        </is>
      </c>
      <c r="G26" t="inlineStr">
        <is>
          <t>e:b5eebc9b</t>
        </is>
      </c>
      <c r="H26" t="inlineStr">
        <is>
          <t>feeds</t>
        </is>
      </c>
      <c r="I26" t="inlineStr">
        <is>
          <t>current</t>
        </is>
      </c>
      <c r="J26" t="inlineStr">
        <is>
          <t>sb</t>
        </is>
      </c>
      <c r="M26" t="inlineStr">
        <is>
          <t>data</t>
        </is>
      </c>
      <c r="O26" t="inlineStr">
        <is>
          <t>recipe:formula_refs</t>
        </is>
      </c>
      <c r="R26" t="inlineStr">
        <is>
          <t>sheet:P&amp;L</t>
        </is>
      </c>
    </row>
    <row r="27">
      <c r="A27" t="inlineStr">
        <is>
          <t>edge</t>
        </is>
      </c>
      <c r="B27" t="inlineStr">
        <is>
          <t>Cash Flow feeds Balance Sheet</t>
        </is>
      </c>
      <c r="C27" t="inlineStr">
        <is>
          <t>Cash Flow feeds Balance Sheet (71 formula references).</t>
        </is>
      </c>
      <c r="D27" t="inlineStr">
        <is>
          <t>computed</t>
        </is>
      </c>
      <c r="E27" t="inlineStr">
        <is>
          <t>2026-09-29</t>
        </is>
      </c>
      <c r="F27" t="inlineStr">
        <is>
          <t>sheet:Balance Sheet</t>
        </is>
      </c>
      <c r="G27" t="inlineStr">
        <is>
          <t>e:10ec02c5</t>
        </is>
      </c>
      <c r="H27" t="inlineStr">
        <is>
          <t>feeds</t>
        </is>
      </c>
      <c r="I27" t="inlineStr">
        <is>
          <t>current</t>
        </is>
      </c>
      <c r="J27" t="inlineStr">
        <is>
          <t>sb</t>
        </is>
      </c>
      <c r="M27" t="inlineStr">
        <is>
          <t>data</t>
        </is>
      </c>
      <c r="O27" t="inlineStr">
        <is>
          <t>recipe:formula_refs</t>
        </is>
      </c>
      <c r="R27" t="inlineStr">
        <is>
          <t>sheet:Cash Flow</t>
        </is>
      </c>
    </row>
    <row r="28">
      <c r="A28" t="inlineStr">
        <is>
          <t>edge</t>
        </is>
      </c>
      <c r="B28" t="inlineStr">
        <is>
          <t>Revenue feeds P&amp;L</t>
        </is>
      </c>
      <c r="C28" t="inlineStr">
        <is>
          <t>Revenue feeds P&amp;L (56 formula references).</t>
        </is>
      </c>
      <c r="D28" t="inlineStr">
        <is>
          <t>computed</t>
        </is>
      </c>
      <c r="E28" t="inlineStr">
        <is>
          <t>2026-09-29</t>
        </is>
      </c>
      <c r="F28" t="inlineStr">
        <is>
          <t>sheet:P&amp;L</t>
        </is>
      </c>
      <c r="G28" t="inlineStr">
        <is>
          <t>e:f7dc210d</t>
        </is>
      </c>
      <c r="H28" t="inlineStr">
        <is>
          <t>feeds</t>
        </is>
      </c>
      <c r="I28" t="inlineStr">
        <is>
          <t>current</t>
        </is>
      </c>
      <c r="J28" t="inlineStr">
        <is>
          <t>sb</t>
        </is>
      </c>
      <c r="M28" t="inlineStr">
        <is>
          <t>data</t>
        </is>
      </c>
      <c r="O28" t="inlineStr">
        <is>
          <t>recipe:formula_refs</t>
        </is>
      </c>
      <c r="R28" t="inlineStr">
        <is>
          <t>sheet:Revenue</t>
        </is>
      </c>
    </row>
    <row r="29">
      <c r="A29" t="inlineStr">
        <is>
          <t>edge</t>
        </is>
      </c>
      <c r="B29" t="inlineStr">
        <is>
          <t>Inputs feeds Cash Flow</t>
        </is>
      </c>
      <c r="C29" t="inlineStr">
        <is>
          <t>Inputs feeds Cash Flow (39 formula references).</t>
        </is>
      </c>
      <c r="D29" t="inlineStr">
        <is>
          <t>computed</t>
        </is>
      </c>
      <c r="E29" t="inlineStr">
        <is>
          <t>2026-09-29</t>
        </is>
      </c>
      <c r="F29" t="inlineStr">
        <is>
          <t>sheet:Cash Flow</t>
        </is>
      </c>
      <c r="G29" t="inlineStr">
        <is>
          <t>e:942ba6af</t>
        </is>
      </c>
      <c r="H29" t="inlineStr">
        <is>
          <t>feeds</t>
        </is>
      </c>
      <c r="I29" t="inlineStr">
        <is>
          <t>current</t>
        </is>
      </c>
      <c r="J29" t="inlineStr">
        <is>
          <t>sb</t>
        </is>
      </c>
      <c r="M29" t="inlineStr">
        <is>
          <t>data</t>
        </is>
      </c>
      <c r="O29" t="inlineStr">
        <is>
          <t>recipe:formula_refs</t>
        </is>
      </c>
      <c r="R29" t="inlineStr">
        <is>
          <t>sheet:Inputs</t>
        </is>
      </c>
    </row>
    <row r="30">
      <c r="A30" t="inlineStr">
        <is>
          <t>insight</t>
        </is>
      </c>
      <c r="B30" t="inlineStr">
        <is>
          <t>formula</t>
        </is>
      </c>
      <c r="C30" t="inlineStr">
        <is>
          <t>The Balance Check row on Balance Sheet is not zero in 1 of 36 periods (May 2027); the gap is 26,110.52; in that month Cash, May 2027 (Balance Sheet!R4) is a typed number in a row of formulas.</t>
        </is>
      </c>
      <c r="D30" t="inlineStr">
        <is>
          <t>computed</t>
        </is>
      </c>
      <c r="E30" t="inlineStr">
        <is>
          <t>2026-09-29</t>
        </is>
      </c>
      <c r="F30" t="inlineStr">
        <is>
          <t>row:Balance Sheet!Cash</t>
        </is>
      </c>
      <c r="G30" t="inlineStr">
        <is>
          <t>i:6878798f</t>
        </is>
      </c>
      <c r="H30" t="inlineStr">
        <is>
          <t>check</t>
        </is>
      </c>
      <c r="I30" t="inlineStr">
        <is>
          <t>current</t>
        </is>
      </c>
      <c r="J30" t="inlineStr">
        <is>
          <t>sb</t>
        </is>
      </c>
      <c r="K30" t="inlineStr">
        <is>
          <t>Balance Sheet!{Balance Check}</t>
        </is>
      </c>
      <c r="L30" t="inlineStr">
        <is>
          <t>61343b2ca0f3</t>
        </is>
      </c>
      <c r="M30" t="inlineStr">
        <is>
          <t>data</t>
        </is>
      </c>
      <c r="N30" t="inlineStr">
        <is>
          <t>on-change</t>
        </is>
      </c>
      <c r="O30" t="inlineStr">
        <is>
          <t>recipe:formula:check</t>
        </is>
      </c>
    </row>
    <row r="31">
      <c r="A31" t="inlineStr">
        <is>
          <t>insight</t>
        </is>
      </c>
      <c r="B31" t="inlineStr">
        <is>
          <t>formula</t>
        </is>
      </c>
      <c r="C31" t="inlineStr">
        <is>
          <t>3 formulas break the pattern of their row or column (New MRR, Nov 2027 (Revenue!X5), G&amp;A, Mar 2028 (P&amp;L!AB9), Accounts Receivable, Jul 2028 (Balance Sheet!AF5)).</t>
        </is>
      </c>
      <c r="D31" t="inlineStr">
        <is>
          <t>computed</t>
        </is>
      </c>
      <c r="E31" t="inlineStr">
        <is>
          <t>2026-09-29</t>
        </is>
      </c>
      <c r="F31" t="inlineStr">
        <is>
          <t>row:Balance Sheet!Accounts Receivable | row:P&amp;L!G&amp;A | row:Revenue!New MRR</t>
        </is>
      </c>
      <c r="G31" t="inlineStr">
        <is>
          <t>i:37dcc582</t>
        </is>
      </c>
      <c r="H31" t="inlineStr">
        <is>
          <t>gotcha</t>
        </is>
      </c>
      <c r="I31" t="inlineStr">
        <is>
          <t>current</t>
        </is>
      </c>
      <c r="J31" t="inlineStr">
        <is>
          <t>sb</t>
        </is>
      </c>
      <c r="K31" t="inlineStr">
        <is>
          <t>Revenue!{New MRR};P&amp;L!{G&amp;A};Balance Sheet!{Accounts Receivable}</t>
        </is>
      </c>
      <c r="L31" t="inlineStr">
        <is>
          <t>8ae299feface</t>
        </is>
      </c>
      <c r="M31" t="inlineStr">
        <is>
          <t>data</t>
        </is>
      </c>
      <c r="N31" t="inlineStr">
        <is>
          <t>on-change</t>
        </is>
      </c>
      <c r="O31" t="inlineStr">
        <is>
          <t>recipe:formula:pattern_breaks</t>
        </is>
      </c>
    </row>
    <row r="32">
      <c r="A32" t="inlineStr">
        <is>
          <t>insight</t>
        </is>
      </c>
      <c r="B32" t="inlineStr">
        <is>
          <t>formula</t>
        </is>
      </c>
      <c r="C32" t="inlineStr">
        <is>
          <t>1 formula contains a typed number: Revenue, Jan 2027 (P&amp;L!N4) uses 1.07, a typed multiplier on a link that adds 17,967.94.</t>
        </is>
      </c>
      <c r="D32" t="inlineStr">
        <is>
          <t>computed</t>
        </is>
      </c>
      <c r="E32" t="inlineStr">
        <is>
          <t>2026-09-29</t>
        </is>
      </c>
      <c r="F32" t="inlineStr">
        <is>
          <t>row:P&amp;L!Revenue</t>
        </is>
      </c>
      <c r="G32" t="inlineStr">
        <is>
          <t>i:291098b4</t>
        </is>
      </c>
      <c r="H32" t="inlineStr">
        <is>
          <t>gotcha</t>
        </is>
      </c>
      <c r="I32" t="inlineStr">
        <is>
          <t>current</t>
        </is>
      </c>
      <c r="J32" t="inlineStr">
        <is>
          <t>sb</t>
        </is>
      </c>
      <c r="K32" t="inlineStr">
        <is>
          <t>P&amp;L!{Revenue}</t>
        </is>
      </c>
      <c r="L32" t="inlineStr">
        <is>
          <t>4589b79d48b9</t>
        </is>
      </c>
      <c r="M32" t="inlineStr">
        <is>
          <t>data</t>
        </is>
      </c>
      <c r="N32" t="inlineStr">
        <is>
          <t>on-change</t>
        </is>
      </c>
      <c r="O32" t="inlineStr">
        <is>
          <t>recipe:formula:hardcoded</t>
        </is>
      </c>
    </row>
    <row r="33">
      <c r="A33" t="inlineStr">
        <is>
          <t>insight</t>
        </is>
      </c>
      <c r="B33" t="inlineStr">
        <is>
          <t>formula</t>
        </is>
      </c>
      <c r="C33" t="inlineStr">
        <is>
          <t>1 number is typed into a row that is otherwise formulas (Cash, May 2027 (Balance Sheet!R4)), so it will not update when inputs change.</t>
        </is>
      </c>
      <c r="D33" t="inlineStr">
        <is>
          <t>computed</t>
        </is>
      </c>
      <c r="E33" t="inlineStr">
        <is>
          <t>2026-09-29</t>
        </is>
      </c>
      <c r="F33" t="inlineStr">
        <is>
          <t>row:Balance Sheet!Cash</t>
        </is>
      </c>
      <c r="G33" t="inlineStr">
        <is>
          <t>i:2071dd84</t>
        </is>
      </c>
      <c r="H33" t="inlineStr">
        <is>
          <t>gotcha</t>
        </is>
      </c>
      <c r="I33" t="inlineStr">
        <is>
          <t>current</t>
        </is>
      </c>
      <c r="J33" t="inlineStr">
        <is>
          <t>sb</t>
        </is>
      </c>
      <c r="K33" t="inlineStr">
        <is>
          <t>Balance Sheet!{Cash}</t>
        </is>
      </c>
      <c r="L33" t="inlineStr">
        <is>
          <t>49cd12a72a62</t>
        </is>
      </c>
      <c r="M33" t="inlineStr">
        <is>
          <t>data</t>
        </is>
      </c>
      <c r="N33" t="inlineStr">
        <is>
          <t>on-change</t>
        </is>
      </c>
      <c r="O33" t="inlineStr">
        <is>
          <t>recipe:formula:typed_in_formula_row</t>
        </is>
      </c>
    </row>
    <row r="34">
      <c r="A34" t="inlineStr">
        <is>
          <t>insight</t>
        </is>
      </c>
      <c r="B34" t="inlineStr">
        <is>
          <t>formula</t>
        </is>
      </c>
      <c r="C34" t="inlineStr">
        <is>
          <t>The Equity raised row on Cash Flow is typed, not calculated, on a tab that is otherwise formulas (its only number is 15,000,000, in Equity raised, Mar 2027 (Cash Flow!P11)).</t>
        </is>
      </c>
      <c r="D34" t="inlineStr">
        <is>
          <t>computed</t>
        </is>
      </c>
      <c r="E34" t="inlineStr">
        <is>
          <t>2026-09-29</t>
        </is>
      </c>
      <c r="F34" t="inlineStr">
        <is>
          <t>row:Cash Flow!Equity raised</t>
        </is>
      </c>
      <c r="G34" t="inlineStr">
        <is>
          <t>i:fb523992</t>
        </is>
      </c>
      <c r="H34" t="inlineStr">
        <is>
          <t>gotcha</t>
        </is>
      </c>
      <c r="I34" t="inlineStr">
        <is>
          <t>current</t>
        </is>
      </c>
      <c r="J34" t="inlineStr">
        <is>
          <t>sb</t>
        </is>
      </c>
      <c r="K34" t="inlineStr">
        <is>
          <t>Cash Flow!{Equity raised}</t>
        </is>
      </c>
      <c r="L34" t="inlineStr">
        <is>
          <t>566f74e14862</t>
        </is>
      </c>
      <c r="M34" t="inlineStr">
        <is>
          <t>data</t>
        </is>
      </c>
      <c r="N34" t="inlineStr">
        <is>
          <t>on-change</t>
        </is>
      </c>
      <c r="O34" t="inlineStr">
        <is>
          <t>recipe:formula:typed_row:Cash Flow:Equity raised</t>
        </is>
      </c>
    </row>
    <row r="35">
      <c r="A35" t="inlineStr">
        <is>
          <t>insight</t>
        </is>
      </c>
      <c r="B35" t="inlineStr">
        <is>
          <t>formula</t>
        </is>
      </c>
      <c r="C35" t="inlineStr">
        <is>
          <t>1 input on Inputs is never used by any formula: Starting MRR in B3; the same 185,000 is typed in Beginning MRR, Jan 2026 (Revenue!B4), and nothing links them.</t>
        </is>
      </c>
      <c r="D35" t="inlineStr">
        <is>
          <t>computed</t>
        </is>
      </c>
      <c r="E35" t="inlineStr">
        <is>
          <t>2026-09-29</t>
        </is>
      </c>
      <c r="F35" t="inlineStr">
        <is>
          <t>row:Revenue!Beginning MRR</t>
        </is>
      </c>
      <c r="G35" t="inlineStr">
        <is>
          <t>i:95385a5b</t>
        </is>
      </c>
      <c r="H35" t="inlineStr">
        <is>
          <t>gotcha</t>
        </is>
      </c>
      <c r="I35" t="inlineStr">
        <is>
          <t>current</t>
        </is>
      </c>
      <c r="J35" t="inlineStr">
        <is>
          <t>sb</t>
        </is>
      </c>
      <c r="K35" t="inlineStr">
        <is>
          <t>Inputs!{Starting MRR}</t>
        </is>
      </c>
      <c r="M35" t="inlineStr">
        <is>
          <t>data</t>
        </is>
      </c>
      <c r="N35" t="inlineStr">
        <is>
          <t>on-change</t>
        </is>
      </c>
      <c r="O35" t="inlineStr">
        <is>
          <t>recipe:formula:orphan_inputs</t>
        </is>
      </c>
    </row>
    <row r="36">
      <c r="A36" t="inlineStr">
        <is>
          <t>insight</t>
        </is>
      </c>
      <c r="B36" t="inlineStr">
        <is>
          <t>formula</t>
        </is>
      </c>
      <c r="C36" t="inlineStr">
        <is>
          <t>The Engineering, Sales and G&amp;A rows on Inputs are typed, not calculated, in 36 periods (Jan 2026 to Dec 2028, from 5 to 34) and feed 613 formula cells (47% of the model).</t>
        </is>
      </c>
      <c r="D36" t="inlineStr">
        <is>
          <t>computed</t>
        </is>
      </c>
      <c r="E36" t="inlineStr">
        <is>
          <t>2026-09-29</t>
        </is>
      </c>
      <c r="F36" t="inlineStr">
        <is>
          <t>row:Inputs!Engineering | row:Inputs!Sales</t>
        </is>
      </c>
      <c r="G36" t="inlineStr">
        <is>
          <t>i:53138f1b</t>
        </is>
      </c>
      <c r="H36" t="inlineStr">
        <is>
          <t>gotcha</t>
        </is>
      </c>
      <c r="I36" t="inlineStr">
        <is>
          <t>current</t>
        </is>
      </c>
      <c r="J36" t="inlineStr">
        <is>
          <t>sb</t>
        </is>
      </c>
      <c r="K36" t="inlineStr">
        <is>
          <t>Inputs!{Engineering};Inputs!{Sales};Inputs!{G&amp;A}</t>
        </is>
      </c>
      <c r="L36" t="inlineStr">
        <is>
          <t>13e85612d4c0</t>
        </is>
      </c>
      <c r="M36" t="inlineStr">
        <is>
          <t>data</t>
        </is>
      </c>
      <c r="N36" t="inlineStr">
        <is>
          <t>on-change</t>
        </is>
      </c>
      <c r="O36" t="inlineStr">
        <is>
          <t>recipe:formula:plan_block:Inputs:Engineering</t>
        </is>
      </c>
    </row>
    <row r="37">
      <c r="A37" t="inlineStr">
        <is>
          <t>insight</t>
        </is>
      </c>
      <c r="B37" t="inlineStr">
        <is>
          <t>formula</t>
        </is>
      </c>
      <c r="C37" t="inlineStr">
        <is>
          <t>Revenue on P&amp;L is typed in 8 periods (Jan 2026 to Aug 2026) and links to Ending MRR on Revenue after that, where P&amp;L switches from typed numbers to formulas; the typed periods come to 1,668,035.00, 10,179.00 above Ending MRR in the same periods, 0.6%, and 8 of the 8 differ.</t>
        </is>
      </c>
      <c r="D37" t="inlineStr">
        <is>
          <t>computed</t>
        </is>
      </c>
      <c r="E37" t="inlineStr">
        <is>
          <t>2026-09-29</t>
        </is>
      </c>
      <c r="F37" t="inlineStr">
        <is>
          <t>row:P&amp;L!Revenue | row:Revenue!Ending MRR</t>
        </is>
      </c>
      <c r="G37" t="inlineStr">
        <is>
          <t>i:ce3a6a73</t>
        </is>
      </c>
      <c r="H37" t="inlineStr">
        <is>
          <t>gotcha</t>
        </is>
      </c>
      <c r="I37" t="inlineStr">
        <is>
          <t>current</t>
        </is>
      </c>
      <c r="J37" t="inlineStr">
        <is>
          <t>sb</t>
        </is>
      </c>
      <c r="K37" t="inlineStr">
        <is>
          <t>P&amp;L!{Revenue}</t>
        </is>
      </c>
      <c r="L37" t="inlineStr">
        <is>
          <t>4589b79d48b9</t>
        </is>
      </c>
      <c r="M37" t="inlineStr">
        <is>
          <t>data</t>
        </is>
      </c>
      <c r="N37" t="inlineStr">
        <is>
          <t>on-change</t>
        </is>
      </c>
      <c r="O37" t="inlineStr">
        <is>
          <t>recipe:formula:tieout:P&amp;L:Revenue</t>
        </is>
      </c>
    </row>
    <row r="38">
      <c r="A38" t="inlineStr">
        <is>
          <t>insight</t>
        </is>
      </c>
      <c r="B38" t="inlineStr">
        <is>
          <t>formula</t>
        </is>
      </c>
      <c r="C38" t="inlineStr">
        <is>
          <t>On P&amp;L and Revenue, months through Aug 2026 are typed numbers and later months are formulas on 11 rows, which looks like the end of actuals.</t>
        </is>
      </c>
      <c r="D38" t="inlineStr">
        <is>
          <t>computed</t>
        </is>
      </c>
      <c r="E38" t="inlineStr">
        <is>
          <t>2026-09-29</t>
        </is>
      </c>
      <c r="F38" t="inlineStr">
        <is>
          <t>row:P&amp;L!Revenue</t>
        </is>
      </c>
      <c r="G38" t="inlineStr">
        <is>
          <t>i:b4cedb61</t>
        </is>
      </c>
      <c r="H38" t="inlineStr">
        <is>
          <t>scope</t>
        </is>
      </c>
      <c r="I38" t="inlineStr">
        <is>
          <t>current</t>
        </is>
      </c>
      <c r="J38" t="inlineStr">
        <is>
          <t>sb</t>
        </is>
      </c>
      <c r="K38" t="inlineStr">
        <is>
          <t>P&amp;L!{2026-08-01}</t>
        </is>
      </c>
      <c r="L38" t="inlineStr">
        <is>
          <t>f433bdb3025d</t>
        </is>
      </c>
      <c r="M38" t="inlineStr">
        <is>
          <t>data</t>
        </is>
      </c>
      <c r="N38" t="inlineStr">
        <is>
          <t>on-change</t>
        </is>
      </c>
      <c r="O38" t="inlineStr">
        <is>
          <t>recipe:formula:actuals_boundary</t>
        </is>
      </c>
    </row>
    <row r="39">
      <c r="A39" t="inlineStr">
        <is>
          <t>insight</t>
        </is>
      </c>
      <c r="B39" t="inlineStr">
        <is>
          <t>model</t>
        </is>
      </c>
      <c r="C39" t="inlineStr">
        <is>
          <t>In the file, Starting MRR (Inputs!B3) = 185,000: "USD, January 2026".</t>
        </is>
      </c>
      <c r="D39" t="inlineStr">
        <is>
          <t>computed</t>
        </is>
      </c>
      <c r="E39" t="inlineStr">
        <is>
          <t>2026-09-29</t>
        </is>
      </c>
      <c r="F39" t="inlineStr">
        <is>
          <t>row:Inputs!Starting MRR</t>
        </is>
      </c>
      <c r="G39" t="inlineStr">
        <is>
          <t>i:d76a54ce</t>
        </is>
      </c>
      <c r="H39" t="inlineStr">
        <is>
          <t>structure</t>
        </is>
      </c>
      <c r="I39" t="inlineStr">
        <is>
          <t>current</t>
        </is>
      </c>
      <c r="J39" t="inlineStr">
        <is>
          <t>sb</t>
        </is>
      </c>
      <c r="K39" t="inlineStr">
        <is>
          <t>Inputs!{Starting MRR}</t>
        </is>
      </c>
      <c r="M39" t="inlineStr">
        <is>
          <t>data</t>
        </is>
      </c>
      <c r="N39" t="inlineStr">
        <is>
          <t>on-change</t>
        </is>
      </c>
      <c r="O39" t="inlineStr">
        <is>
          <t>recipe:model:input:Inputs:B3</t>
        </is>
      </c>
    </row>
    <row r="40">
      <c r="A40" t="inlineStr">
        <is>
          <t>insight</t>
        </is>
      </c>
      <c r="B40" t="inlineStr">
        <is>
          <t>model</t>
        </is>
      </c>
      <c r="C40" t="inlineStr">
        <is>
          <t>In the file, Growth (Inputs!B4) = 0.04, with no note.</t>
        </is>
      </c>
      <c r="D40" t="inlineStr">
        <is>
          <t>computed</t>
        </is>
      </c>
      <c r="E40" t="inlineStr">
        <is>
          <t>2026-09-29</t>
        </is>
      </c>
      <c r="F40" t="inlineStr">
        <is>
          <t>row:Inputs!Growth</t>
        </is>
      </c>
      <c r="G40" t="inlineStr">
        <is>
          <t>i:d5b7c430</t>
        </is>
      </c>
      <c r="H40" t="inlineStr">
        <is>
          <t>structure</t>
        </is>
      </c>
      <c r="I40" t="inlineStr">
        <is>
          <t>current</t>
        </is>
      </c>
      <c r="J40" t="inlineStr">
        <is>
          <t>sb</t>
        </is>
      </c>
      <c r="K40" t="inlineStr">
        <is>
          <t>Inputs!{Growth}</t>
        </is>
      </c>
      <c r="M40" t="inlineStr">
        <is>
          <t>data</t>
        </is>
      </c>
      <c r="N40" t="inlineStr">
        <is>
          <t>on-change</t>
        </is>
      </c>
      <c r="O40" t="inlineStr">
        <is>
          <t>recipe:model:input:Inputs:B4</t>
        </is>
      </c>
    </row>
    <row r="41">
      <c r="A41" t="inlineStr">
        <is>
          <t>insight</t>
        </is>
      </c>
      <c r="B41" t="inlineStr">
        <is>
          <t>model</t>
        </is>
      </c>
      <c r="C41" t="inlineStr">
        <is>
          <t>In the file, Monthly churn (Inputs!B5) = 0.015: "share of beginning MRR lost each month".</t>
        </is>
      </c>
      <c r="D41" t="inlineStr">
        <is>
          <t>computed</t>
        </is>
      </c>
      <c r="E41" t="inlineStr">
        <is>
          <t>2026-09-29</t>
        </is>
      </c>
      <c r="F41" t="inlineStr">
        <is>
          <t>row:Inputs!Monthly churn</t>
        </is>
      </c>
      <c r="G41" t="inlineStr">
        <is>
          <t>i:d4873df4</t>
        </is>
      </c>
      <c r="H41" t="inlineStr">
        <is>
          <t>structure</t>
        </is>
      </c>
      <c r="I41" t="inlineStr">
        <is>
          <t>current</t>
        </is>
      </c>
      <c r="J41" t="inlineStr">
        <is>
          <t>sb</t>
        </is>
      </c>
      <c r="K41" t="inlineStr">
        <is>
          <t>Inputs!{Monthly churn}</t>
        </is>
      </c>
      <c r="M41" t="inlineStr">
        <is>
          <t>data</t>
        </is>
      </c>
      <c r="N41" t="inlineStr">
        <is>
          <t>on-change</t>
        </is>
      </c>
      <c r="O41" t="inlineStr">
        <is>
          <t>recipe:model:input:Inputs:B5</t>
        </is>
      </c>
    </row>
    <row r="42">
      <c r="A42" t="inlineStr">
        <is>
          <t>insight</t>
        </is>
      </c>
      <c r="B42" t="inlineStr">
        <is>
          <t>model</t>
        </is>
      </c>
      <c r="C42" t="inlineStr">
        <is>
          <t>In the file, ARPA per month (Inputs!B6) = 650: "USD per customer".</t>
        </is>
      </c>
      <c r="D42" t="inlineStr">
        <is>
          <t>computed</t>
        </is>
      </c>
      <c r="E42" t="inlineStr">
        <is>
          <t>2026-09-29</t>
        </is>
      </c>
      <c r="F42" t="inlineStr">
        <is>
          <t>row:Inputs!ARPA per month</t>
        </is>
      </c>
      <c r="G42" t="inlineStr">
        <is>
          <t>i:9284d77d</t>
        </is>
      </c>
      <c r="H42" t="inlineStr">
        <is>
          <t>structure</t>
        </is>
      </c>
      <c r="I42" t="inlineStr">
        <is>
          <t>current</t>
        </is>
      </c>
      <c r="J42" t="inlineStr">
        <is>
          <t>sb</t>
        </is>
      </c>
      <c r="K42" t="inlineStr">
        <is>
          <t>Inputs!{ARPA per month}</t>
        </is>
      </c>
      <c r="M42" t="inlineStr">
        <is>
          <t>data</t>
        </is>
      </c>
      <c r="N42" t="inlineStr">
        <is>
          <t>on-change</t>
        </is>
      </c>
      <c r="O42" t="inlineStr">
        <is>
          <t>recipe:model:input:Inputs:B6</t>
        </is>
      </c>
    </row>
    <row r="43">
      <c r="A43" t="inlineStr">
        <is>
          <t>insight</t>
        </is>
      </c>
      <c r="B43" t="inlineStr">
        <is>
          <t>model</t>
        </is>
      </c>
      <c r="C43" t="inlineStr">
        <is>
          <t>In the file, CAC per new customer (Inputs!B7) = 5,200: "USD".</t>
        </is>
      </c>
      <c r="D43" t="inlineStr">
        <is>
          <t>computed</t>
        </is>
      </c>
      <c r="E43" t="inlineStr">
        <is>
          <t>2026-09-29</t>
        </is>
      </c>
      <c r="F43" t="inlineStr">
        <is>
          <t>row:Inputs!CAC per new customer</t>
        </is>
      </c>
      <c r="G43" t="inlineStr">
        <is>
          <t>i:f738e930</t>
        </is>
      </c>
      <c r="H43" t="inlineStr">
        <is>
          <t>structure</t>
        </is>
      </c>
      <c r="I43" t="inlineStr">
        <is>
          <t>current</t>
        </is>
      </c>
      <c r="J43" t="inlineStr">
        <is>
          <t>sb</t>
        </is>
      </c>
      <c r="K43" t="inlineStr">
        <is>
          <t>Inputs!{CAC per new customer}</t>
        </is>
      </c>
      <c r="M43" t="inlineStr">
        <is>
          <t>data</t>
        </is>
      </c>
      <c r="N43" t="inlineStr">
        <is>
          <t>on-change</t>
        </is>
      </c>
      <c r="O43" t="inlineStr">
        <is>
          <t>recipe:model:input:Inputs:B7</t>
        </is>
      </c>
    </row>
    <row r="44">
      <c r="A44" t="inlineStr">
        <is>
          <t>insight</t>
        </is>
      </c>
      <c r="B44" t="inlineStr">
        <is>
          <t>model</t>
        </is>
      </c>
      <c r="C44" t="inlineStr">
        <is>
          <t>In the file, COGS % of revenue (Inputs!B8) = 0.22, with no note.</t>
        </is>
      </c>
      <c r="D44" t="inlineStr">
        <is>
          <t>computed</t>
        </is>
      </c>
      <c r="E44" t="inlineStr">
        <is>
          <t>2026-09-29</t>
        </is>
      </c>
      <c r="F44" t="inlineStr">
        <is>
          <t>row:Inputs!COGS % of revenue</t>
        </is>
      </c>
      <c r="G44" t="inlineStr">
        <is>
          <t>i:b33e0025</t>
        </is>
      </c>
      <c r="H44" t="inlineStr">
        <is>
          <t>structure</t>
        </is>
      </c>
      <c r="I44" t="inlineStr">
        <is>
          <t>current</t>
        </is>
      </c>
      <c r="J44" t="inlineStr">
        <is>
          <t>sb</t>
        </is>
      </c>
      <c r="K44" t="inlineStr">
        <is>
          <t>Inputs!{COGS % of revenue}</t>
        </is>
      </c>
      <c r="M44" t="inlineStr">
        <is>
          <t>data</t>
        </is>
      </c>
      <c r="N44" t="inlineStr">
        <is>
          <t>on-change</t>
        </is>
      </c>
      <c r="O44" t="inlineStr">
        <is>
          <t>recipe:model:input:Inputs:B8</t>
        </is>
      </c>
    </row>
    <row r="45">
      <c r="A45" t="inlineStr">
        <is>
          <t>insight</t>
        </is>
      </c>
      <c r="B45" t="inlineStr">
        <is>
          <t>model</t>
        </is>
      </c>
      <c r="C45" t="inlineStr">
        <is>
          <t>In the file, Fixed G&amp;A per month (Inputs!B9) = 38,000: "USD".</t>
        </is>
      </c>
      <c r="D45" t="inlineStr">
        <is>
          <t>computed</t>
        </is>
      </c>
      <c r="E45" t="inlineStr">
        <is>
          <t>2026-09-29</t>
        </is>
      </c>
      <c r="F45" t="inlineStr">
        <is>
          <t>row:Inputs!Fixed G&amp;A per month</t>
        </is>
      </c>
      <c r="G45" t="inlineStr">
        <is>
          <t>i:42ca58fc</t>
        </is>
      </c>
      <c r="H45" t="inlineStr">
        <is>
          <t>structure</t>
        </is>
      </c>
      <c r="I45" t="inlineStr">
        <is>
          <t>current</t>
        </is>
      </c>
      <c r="J45" t="inlineStr">
        <is>
          <t>sb</t>
        </is>
      </c>
      <c r="K45" t="inlineStr">
        <is>
          <t>Inputs!{Fixed G&amp;A per month}</t>
        </is>
      </c>
      <c r="M45" t="inlineStr">
        <is>
          <t>data</t>
        </is>
      </c>
      <c r="N45" t="inlineStr">
        <is>
          <t>on-change</t>
        </is>
      </c>
      <c r="O45" t="inlineStr">
        <is>
          <t>recipe:model:input:Inputs:B9</t>
        </is>
      </c>
    </row>
    <row r="46">
      <c r="A46" t="inlineStr">
        <is>
          <t>insight</t>
        </is>
      </c>
      <c r="B46" t="inlineStr">
        <is>
          <t>model</t>
        </is>
      </c>
      <c r="C46" t="inlineStr">
        <is>
          <t>In the file, D&amp;A per month (Inputs!B10) = 9,000: "USD".</t>
        </is>
      </c>
      <c r="D46" t="inlineStr">
        <is>
          <t>computed</t>
        </is>
      </c>
      <c r="E46" t="inlineStr">
        <is>
          <t>2026-09-29</t>
        </is>
      </c>
      <c r="F46" t="inlineStr">
        <is>
          <t>row:Inputs!D&amp;A per month</t>
        </is>
      </c>
      <c r="G46" t="inlineStr">
        <is>
          <t>i:3d776151</t>
        </is>
      </c>
      <c r="H46" t="inlineStr">
        <is>
          <t>structure</t>
        </is>
      </c>
      <c r="I46" t="inlineStr">
        <is>
          <t>current</t>
        </is>
      </c>
      <c r="J46" t="inlineStr">
        <is>
          <t>sb</t>
        </is>
      </c>
      <c r="K46" t="inlineStr">
        <is>
          <t>Inputs!{D&amp;A per month}</t>
        </is>
      </c>
      <c r="M46" t="inlineStr">
        <is>
          <t>data</t>
        </is>
      </c>
      <c r="N46" t="inlineStr">
        <is>
          <t>on-change</t>
        </is>
      </c>
      <c r="O46" t="inlineStr">
        <is>
          <t>recipe:model:input:Inputs:B10</t>
        </is>
      </c>
    </row>
    <row r="47">
      <c r="A47" t="inlineStr">
        <is>
          <t>insight</t>
        </is>
      </c>
      <c r="B47" t="inlineStr">
        <is>
          <t>model</t>
        </is>
      </c>
      <c r="C47" t="inlineStr">
        <is>
          <t>In the file, Capex per month (Inputs!B11) = 12,000: "USD".</t>
        </is>
      </c>
      <c r="D47" t="inlineStr">
        <is>
          <t>computed</t>
        </is>
      </c>
      <c r="E47" t="inlineStr">
        <is>
          <t>2026-09-29</t>
        </is>
      </c>
      <c r="F47" t="inlineStr">
        <is>
          <t>row:Inputs!Capex per month</t>
        </is>
      </c>
      <c r="G47" t="inlineStr">
        <is>
          <t>i:1ec4abe5</t>
        </is>
      </c>
      <c r="H47" t="inlineStr">
        <is>
          <t>structure</t>
        </is>
      </c>
      <c r="I47" t="inlineStr">
        <is>
          <t>current</t>
        </is>
      </c>
      <c r="J47" t="inlineStr">
        <is>
          <t>sb</t>
        </is>
      </c>
      <c r="K47" t="inlineStr">
        <is>
          <t>Inputs!{Capex per month}</t>
        </is>
      </c>
      <c r="M47" t="inlineStr">
        <is>
          <t>data</t>
        </is>
      </c>
      <c r="N47" t="inlineStr">
        <is>
          <t>on-change</t>
        </is>
      </c>
      <c r="O47" t="inlineStr">
        <is>
          <t>recipe:model:input:Inputs:B11</t>
        </is>
      </c>
    </row>
    <row r="48">
      <c r="A48" t="inlineStr">
        <is>
          <t>insight</t>
        </is>
      </c>
      <c r="B48" t="inlineStr">
        <is>
          <t>model</t>
        </is>
      </c>
      <c r="C48" t="inlineStr">
        <is>
          <t>In the file, Tax rate (Inputs!B12) = 0.21, with no note.</t>
        </is>
      </c>
      <c r="D48" t="inlineStr">
        <is>
          <t>computed</t>
        </is>
      </c>
      <c r="E48" t="inlineStr">
        <is>
          <t>2026-09-29</t>
        </is>
      </c>
      <c r="F48" t="inlineStr">
        <is>
          <t>row:Inputs!Tax rate</t>
        </is>
      </c>
      <c r="G48" t="inlineStr">
        <is>
          <t>i:9ce9b15c</t>
        </is>
      </c>
      <c r="H48" t="inlineStr">
        <is>
          <t>structure</t>
        </is>
      </c>
      <c r="I48" t="inlineStr">
        <is>
          <t>current</t>
        </is>
      </c>
      <c r="J48" t="inlineStr">
        <is>
          <t>sb</t>
        </is>
      </c>
      <c r="K48" t="inlineStr">
        <is>
          <t>Inputs!{Tax rate}</t>
        </is>
      </c>
      <c r="M48" t="inlineStr">
        <is>
          <t>data</t>
        </is>
      </c>
      <c r="N48" t="inlineStr">
        <is>
          <t>on-change</t>
        </is>
      </c>
      <c r="O48" t="inlineStr">
        <is>
          <t>recipe:model:input:Inputs:B12</t>
        </is>
      </c>
    </row>
    <row r="49">
      <c r="A49" t="inlineStr">
        <is>
          <t>insight</t>
        </is>
      </c>
      <c r="B49" t="inlineStr">
        <is>
          <t>model</t>
        </is>
      </c>
      <c r="C49" t="inlineStr">
        <is>
          <t>In the file, AR (months of revenue) (Inputs!B13) = 1: "net 30 terms".</t>
        </is>
      </c>
      <c r="D49" t="inlineStr">
        <is>
          <t>computed</t>
        </is>
      </c>
      <c r="E49" t="inlineStr">
        <is>
          <t>2026-09-29</t>
        </is>
      </c>
      <c r="F49" t="inlineStr">
        <is>
          <t>row:Inputs!AR (months of revenue)</t>
        </is>
      </c>
      <c r="G49" t="inlineStr">
        <is>
          <t>i:359e25f4</t>
        </is>
      </c>
      <c r="H49" t="inlineStr">
        <is>
          <t>structure</t>
        </is>
      </c>
      <c r="I49" t="inlineStr">
        <is>
          <t>current</t>
        </is>
      </c>
      <c r="J49" t="inlineStr">
        <is>
          <t>sb</t>
        </is>
      </c>
      <c r="K49" t="inlineStr">
        <is>
          <t>Inputs!{AR (months of revenue)}</t>
        </is>
      </c>
      <c r="M49" t="inlineStr">
        <is>
          <t>data</t>
        </is>
      </c>
      <c r="N49" t="inlineStr">
        <is>
          <t>on-change</t>
        </is>
      </c>
      <c r="O49" t="inlineStr">
        <is>
          <t>recipe:model:input:Inputs:B13</t>
        </is>
      </c>
    </row>
    <row r="50">
      <c r="A50" t="inlineStr">
        <is>
          <t>insight</t>
        </is>
      </c>
      <c r="B50" t="inlineStr">
        <is>
          <t>model</t>
        </is>
      </c>
      <c r="C50" t="inlineStr">
        <is>
          <t>In the file, AP (share of monthly costs) (Inputs!B14) = 0.5, with no note.</t>
        </is>
      </c>
      <c r="D50" t="inlineStr">
        <is>
          <t>computed</t>
        </is>
      </c>
      <c r="E50" t="inlineStr">
        <is>
          <t>2026-09-29</t>
        </is>
      </c>
      <c r="F50" t="inlineStr">
        <is>
          <t>row:Inputs!AP (share of monthly costs)</t>
        </is>
      </c>
      <c r="G50" t="inlineStr">
        <is>
          <t>i:4553ca29</t>
        </is>
      </c>
      <c r="H50" t="inlineStr">
        <is>
          <t>structure</t>
        </is>
      </c>
      <c r="I50" t="inlineStr">
        <is>
          <t>current</t>
        </is>
      </c>
      <c r="J50" t="inlineStr">
        <is>
          <t>sb</t>
        </is>
      </c>
      <c r="K50" t="inlineStr">
        <is>
          <t>Inputs!{AP (share of monthly costs)}</t>
        </is>
      </c>
      <c r="M50" t="inlineStr">
        <is>
          <t>data</t>
        </is>
      </c>
      <c r="N50" t="inlineStr">
        <is>
          <t>on-change</t>
        </is>
      </c>
      <c r="O50" t="inlineStr">
        <is>
          <t>recipe:model:input:Inputs:B14</t>
        </is>
      </c>
    </row>
    <row r="51">
      <c r="A51" t="inlineStr">
        <is>
          <t>insight</t>
        </is>
      </c>
      <c r="B51" t="inlineStr">
        <is>
          <t>model</t>
        </is>
      </c>
      <c r="C51" t="inlineStr">
        <is>
          <t>In the file, Opening cash (Inputs!B17) = 6,200,000: "Dec 31, 2025".</t>
        </is>
      </c>
      <c r="D51" t="inlineStr">
        <is>
          <t>computed</t>
        </is>
      </c>
      <c r="E51" t="inlineStr">
        <is>
          <t>2026-09-29</t>
        </is>
      </c>
      <c r="F51" t="inlineStr">
        <is>
          <t>row:Inputs!Opening cash</t>
        </is>
      </c>
      <c r="G51" t="inlineStr">
        <is>
          <t>i:c10bf00e</t>
        </is>
      </c>
      <c r="H51" t="inlineStr">
        <is>
          <t>structure</t>
        </is>
      </c>
      <c r="I51" t="inlineStr">
        <is>
          <t>current</t>
        </is>
      </c>
      <c r="J51" t="inlineStr">
        <is>
          <t>sb</t>
        </is>
      </c>
      <c r="K51" t="inlineStr">
        <is>
          <t>Inputs!{Opening cash}</t>
        </is>
      </c>
      <c r="M51" t="inlineStr">
        <is>
          <t>data</t>
        </is>
      </c>
      <c r="N51" t="inlineStr">
        <is>
          <t>on-change</t>
        </is>
      </c>
      <c r="O51" t="inlineStr">
        <is>
          <t>recipe:model:input:Inputs:B17</t>
        </is>
      </c>
    </row>
    <row r="52">
      <c r="A52" t="inlineStr">
        <is>
          <t>insight</t>
        </is>
      </c>
      <c r="B52" t="inlineStr">
        <is>
          <t>model</t>
        </is>
      </c>
      <c r="C52" t="inlineStr">
        <is>
          <t>In the file, Opening AR (Inputs!B18) = 181,500, with no note.</t>
        </is>
      </c>
      <c r="D52" t="inlineStr">
        <is>
          <t>computed</t>
        </is>
      </c>
      <c r="E52" t="inlineStr">
        <is>
          <t>2026-09-29</t>
        </is>
      </c>
      <c r="F52" t="inlineStr">
        <is>
          <t>row:Inputs!Opening AR</t>
        </is>
      </c>
      <c r="G52" t="inlineStr">
        <is>
          <t>i:f597920c</t>
        </is>
      </c>
      <c r="H52" t="inlineStr">
        <is>
          <t>structure</t>
        </is>
      </c>
      <c r="I52" t="inlineStr">
        <is>
          <t>current</t>
        </is>
      </c>
      <c r="J52" t="inlineStr">
        <is>
          <t>sb</t>
        </is>
      </c>
      <c r="K52" t="inlineStr">
        <is>
          <t>Inputs!{Opening AR}</t>
        </is>
      </c>
      <c r="M52" t="inlineStr">
        <is>
          <t>data</t>
        </is>
      </c>
      <c r="N52" t="inlineStr">
        <is>
          <t>on-change</t>
        </is>
      </c>
      <c r="O52" t="inlineStr">
        <is>
          <t>recipe:model:input:Inputs:B18</t>
        </is>
      </c>
    </row>
    <row r="53">
      <c r="A53" t="inlineStr">
        <is>
          <t>insight</t>
        </is>
      </c>
      <c r="B53" t="inlineStr">
        <is>
          <t>model</t>
        </is>
      </c>
      <c r="C53" t="inlineStr">
        <is>
          <t>In the file, Opening PP&amp;E, net (Inputs!B19) = 310,000, with no note.</t>
        </is>
      </c>
      <c r="D53" t="inlineStr">
        <is>
          <t>computed</t>
        </is>
      </c>
      <c r="E53" t="inlineStr">
        <is>
          <t>2026-09-29</t>
        </is>
      </c>
      <c r="F53" t="inlineStr">
        <is>
          <t>row:Inputs!Opening PP&amp;E</t>
        </is>
      </c>
      <c r="G53" t="inlineStr">
        <is>
          <t>i:db005e09</t>
        </is>
      </c>
      <c r="H53" t="inlineStr">
        <is>
          <t>structure</t>
        </is>
      </c>
      <c r="I53" t="inlineStr">
        <is>
          <t>current</t>
        </is>
      </c>
      <c r="J53" t="inlineStr">
        <is>
          <t>sb</t>
        </is>
      </c>
      <c r="K53" t="inlineStr">
        <is>
          <t>Inputs!{Opening PP&amp;E, net}</t>
        </is>
      </c>
      <c r="M53" t="inlineStr">
        <is>
          <t>data</t>
        </is>
      </c>
      <c r="N53" t="inlineStr">
        <is>
          <t>on-change</t>
        </is>
      </c>
      <c r="O53" t="inlineStr">
        <is>
          <t>recipe:model:input:Inputs:B19</t>
        </is>
      </c>
    </row>
    <row r="54">
      <c r="A54" t="inlineStr">
        <is>
          <t>insight</t>
        </is>
      </c>
      <c r="B54" t="inlineStr">
        <is>
          <t>model</t>
        </is>
      </c>
      <c r="C54" t="inlineStr">
        <is>
          <t>In the file, Opening AP (Inputs!B20) = 98,000, with no note.</t>
        </is>
      </c>
      <c r="D54" t="inlineStr">
        <is>
          <t>computed</t>
        </is>
      </c>
      <c r="E54" t="inlineStr">
        <is>
          <t>2026-09-29</t>
        </is>
      </c>
      <c r="F54" t="inlineStr">
        <is>
          <t>row:Inputs!Opening AP</t>
        </is>
      </c>
      <c r="G54" t="inlineStr">
        <is>
          <t>i:6d821ef6</t>
        </is>
      </c>
      <c r="H54" t="inlineStr">
        <is>
          <t>structure</t>
        </is>
      </c>
      <c r="I54" t="inlineStr">
        <is>
          <t>current</t>
        </is>
      </c>
      <c r="J54" t="inlineStr">
        <is>
          <t>sb</t>
        </is>
      </c>
      <c r="K54" t="inlineStr">
        <is>
          <t>Inputs!{Opening AP}</t>
        </is>
      </c>
      <c r="M54" t="inlineStr">
        <is>
          <t>data</t>
        </is>
      </c>
      <c r="N54" t="inlineStr">
        <is>
          <t>on-change</t>
        </is>
      </c>
      <c r="O54" t="inlineStr">
        <is>
          <t>recipe:model:input:Inputs:B20</t>
        </is>
      </c>
    </row>
    <row r="55">
      <c r="A55" t="inlineStr">
        <is>
          <t>insight</t>
        </is>
      </c>
      <c r="B55" t="inlineStr">
        <is>
          <t>model</t>
        </is>
      </c>
      <c r="C55" t="inlineStr">
        <is>
          <t>In the file, Opening paid-in capital (Inputs!B21) = 9,500,000, with no note.</t>
        </is>
      </c>
      <c r="D55" t="inlineStr">
        <is>
          <t>computed</t>
        </is>
      </c>
      <c r="E55" t="inlineStr">
        <is>
          <t>2026-09-29</t>
        </is>
      </c>
      <c r="F55" t="inlineStr">
        <is>
          <t>row:Inputs!Opening paid-in capital</t>
        </is>
      </c>
      <c r="G55" t="inlineStr">
        <is>
          <t>i:5121ea99</t>
        </is>
      </c>
      <c r="H55" t="inlineStr">
        <is>
          <t>structure</t>
        </is>
      </c>
      <c r="I55" t="inlineStr">
        <is>
          <t>current</t>
        </is>
      </c>
      <c r="J55" t="inlineStr">
        <is>
          <t>sb</t>
        </is>
      </c>
      <c r="K55" t="inlineStr">
        <is>
          <t>Inputs!{Opening paid-in capital}</t>
        </is>
      </c>
      <c r="M55" t="inlineStr">
        <is>
          <t>data</t>
        </is>
      </c>
      <c r="N55" t="inlineStr">
        <is>
          <t>on-change</t>
        </is>
      </c>
      <c r="O55" t="inlineStr">
        <is>
          <t>recipe:model:input:Inputs:B21</t>
        </is>
      </c>
    </row>
    <row r="56">
      <c r="A56" t="inlineStr">
        <is>
          <t>insight</t>
        </is>
      </c>
      <c r="B56" t="inlineStr">
        <is>
          <t>model</t>
        </is>
      </c>
      <c r="C56" t="inlineStr">
        <is>
          <t>In the file, Engineering (Inputs!B25) = 13,750: "loaded cost per head per month".</t>
        </is>
      </c>
      <c r="D56" t="inlineStr">
        <is>
          <t>computed</t>
        </is>
      </c>
      <c r="E56" t="inlineStr">
        <is>
          <t>2026-09-29</t>
        </is>
      </c>
      <c r="F56" t="inlineStr">
        <is>
          <t>row:Inputs!Engineering</t>
        </is>
      </c>
      <c r="G56" t="inlineStr">
        <is>
          <t>i:82967791</t>
        </is>
      </c>
      <c r="H56" t="inlineStr">
        <is>
          <t>structure</t>
        </is>
      </c>
      <c r="I56" t="inlineStr">
        <is>
          <t>current</t>
        </is>
      </c>
      <c r="J56" t="inlineStr">
        <is>
          <t>sb</t>
        </is>
      </c>
      <c r="K56" t="inlineStr">
        <is>
          <t>Inputs!{Engineering}</t>
        </is>
      </c>
      <c r="L56" t="inlineStr">
        <is>
          <t>7df0abf6fc6e</t>
        </is>
      </c>
      <c r="M56" t="inlineStr">
        <is>
          <t>data</t>
        </is>
      </c>
      <c r="N56" t="inlineStr">
        <is>
          <t>on-change</t>
        </is>
      </c>
      <c r="O56" t="inlineStr">
        <is>
          <t>recipe:model:input:Inputs:B25</t>
        </is>
      </c>
    </row>
    <row r="57">
      <c r="A57" t="inlineStr">
        <is>
          <t>insight</t>
        </is>
      </c>
      <c r="B57" t="inlineStr">
        <is>
          <t>model</t>
        </is>
      </c>
      <c r="C57" t="inlineStr">
        <is>
          <t>In the file, Sales (Inputs!B26) = 10,000: "loaded cost per head per month".</t>
        </is>
      </c>
      <c r="D57" t="inlineStr">
        <is>
          <t>computed</t>
        </is>
      </c>
      <c r="E57" t="inlineStr">
        <is>
          <t>2026-09-29</t>
        </is>
      </c>
      <c r="F57" t="inlineStr">
        <is>
          <t>row:Inputs!Sales</t>
        </is>
      </c>
      <c r="G57" t="inlineStr">
        <is>
          <t>i:c329e047</t>
        </is>
      </c>
      <c r="H57" t="inlineStr">
        <is>
          <t>structure</t>
        </is>
      </c>
      <c r="I57" t="inlineStr">
        <is>
          <t>current</t>
        </is>
      </c>
      <c r="J57" t="inlineStr">
        <is>
          <t>sb</t>
        </is>
      </c>
      <c r="K57" t="inlineStr">
        <is>
          <t>Inputs!{Sales}</t>
        </is>
      </c>
      <c r="L57" t="inlineStr">
        <is>
          <t>26352dc13014</t>
        </is>
      </c>
      <c r="M57" t="inlineStr">
        <is>
          <t>data</t>
        </is>
      </c>
      <c r="N57" t="inlineStr">
        <is>
          <t>on-change</t>
        </is>
      </c>
      <c r="O57" t="inlineStr">
        <is>
          <t>recipe:model:input:Inputs:B26</t>
        </is>
      </c>
    </row>
    <row r="58">
      <c r="A58" t="inlineStr">
        <is>
          <t>insight</t>
        </is>
      </c>
      <c r="B58" t="inlineStr">
        <is>
          <t>model</t>
        </is>
      </c>
      <c r="C58" t="inlineStr">
        <is>
          <t>In the file, G&amp;A (Inputs!B27) = 9,200: "loaded cost per head per month".</t>
        </is>
      </c>
      <c r="D58" t="inlineStr">
        <is>
          <t>computed</t>
        </is>
      </c>
      <c r="E58" t="inlineStr">
        <is>
          <t>2026-09-29</t>
        </is>
      </c>
      <c r="F58" t="inlineStr">
        <is>
          <t>row:Inputs!G&amp;A</t>
        </is>
      </c>
      <c r="G58" t="inlineStr">
        <is>
          <t>i:8e1c1a44</t>
        </is>
      </c>
      <c r="H58" t="inlineStr">
        <is>
          <t>structure</t>
        </is>
      </c>
      <c r="I58" t="inlineStr">
        <is>
          <t>current</t>
        </is>
      </c>
      <c r="J58" t="inlineStr">
        <is>
          <t>sb</t>
        </is>
      </c>
      <c r="K58" t="inlineStr">
        <is>
          <t>Inputs!{G&amp;A}</t>
        </is>
      </c>
      <c r="L58" t="inlineStr">
        <is>
          <t>502a18833664</t>
        </is>
      </c>
      <c r="M58" t="inlineStr">
        <is>
          <t>data</t>
        </is>
      </c>
      <c r="N58" t="inlineStr">
        <is>
          <t>on-change</t>
        </is>
      </c>
      <c r="O58" t="inlineStr">
        <is>
          <t>recipe:model:input:Inputs:B27</t>
        </is>
      </c>
    </row>
    <row r="59">
      <c r="A59" t="inlineStr">
        <is>
          <t>insight</t>
        </is>
      </c>
      <c r="B59" t="inlineStr">
        <is>
          <t>model</t>
        </is>
      </c>
      <c r="C59" t="inlineStr">
        <is>
          <t>On Balance Sheet, Accounts Receivable = Revenue on P&amp;L x AR (months of revenue) (Inputs!B13) in Jan 2026 to Dec 2028 (35 of its 36 formula cells).</t>
        </is>
      </c>
      <c r="D59" t="inlineStr">
        <is>
          <t>computed</t>
        </is>
      </c>
      <c r="E59" t="inlineStr">
        <is>
          <t>2026-09-29</t>
        </is>
      </c>
      <c r="F59" t="inlineStr">
        <is>
          <t>row:Inputs!AR (months of revenue)</t>
        </is>
      </c>
      <c r="G59" t="inlineStr">
        <is>
          <t>i:24fefd07</t>
        </is>
      </c>
      <c r="H59" t="inlineStr">
        <is>
          <t>structure</t>
        </is>
      </c>
      <c r="I59" t="inlineStr">
        <is>
          <t>current</t>
        </is>
      </c>
      <c r="J59" t="inlineStr">
        <is>
          <t>sb</t>
        </is>
      </c>
      <c r="K59" t="inlineStr">
        <is>
          <t>Balance Sheet!{Accounts Receivable}</t>
        </is>
      </c>
      <c r="L59" t="inlineStr">
        <is>
          <t>3de01b250396</t>
        </is>
      </c>
      <c r="M59" t="inlineStr">
        <is>
          <t>data</t>
        </is>
      </c>
      <c r="N59" t="inlineStr">
        <is>
          <t>on-change</t>
        </is>
      </c>
      <c r="O59" t="inlineStr">
        <is>
          <t>recipe:model:driver:Balance Sheet:Accounts Receivable</t>
        </is>
      </c>
    </row>
    <row r="60">
      <c r="A60" t="inlineStr">
        <is>
          <t>insight</t>
        </is>
      </c>
      <c r="B60" t="inlineStr">
        <is>
          <t>model</t>
        </is>
      </c>
      <c r="C60" t="inlineStr">
        <is>
          <t>On Balance Sheet, PP&amp;E, net = prior PP&amp;E, net + Capex per month (Inputs!B11) - D&amp;A on P&amp;L in Feb 2026 to Dec 2028 (35 of its 36 formula cells).</t>
        </is>
      </c>
      <c r="D60" t="inlineStr">
        <is>
          <t>computed</t>
        </is>
      </c>
      <c r="E60" t="inlineStr">
        <is>
          <t>2026-09-29</t>
        </is>
      </c>
      <c r="F60" t="inlineStr">
        <is>
          <t>row:Inputs!Capex per month</t>
        </is>
      </c>
      <c r="G60" t="inlineStr">
        <is>
          <t>i:34b10811</t>
        </is>
      </c>
      <c r="H60" t="inlineStr">
        <is>
          <t>structure</t>
        </is>
      </c>
      <c r="I60" t="inlineStr">
        <is>
          <t>current</t>
        </is>
      </c>
      <c r="J60" t="inlineStr">
        <is>
          <t>sb</t>
        </is>
      </c>
      <c r="K60" t="inlineStr">
        <is>
          <t>Balance Sheet!{PP&amp;E, net}</t>
        </is>
      </c>
      <c r="L60" t="inlineStr">
        <is>
          <t>240d505bc6aa</t>
        </is>
      </c>
      <c r="M60" t="inlineStr">
        <is>
          <t>data</t>
        </is>
      </c>
      <c r="N60" t="inlineStr">
        <is>
          <t>on-change</t>
        </is>
      </c>
      <c r="O60" t="inlineStr">
        <is>
          <t>recipe:model:driver:Balance Sheet:PP&amp;E, net</t>
        </is>
      </c>
    </row>
    <row r="61">
      <c r="A61" t="inlineStr">
        <is>
          <t>insight</t>
        </is>
      </c>
      <c r="B61" t="inlineStr">
        <is>
          <t>model</t>
        </is>
      </c>
      <c r="C61" t="inlineStr">
        <is>
          <t>On Balance Sheet, Accounts Payable = (COGS on P&amp;L + Total OpEx on P&amp;L) x AP (share of monthly costs) (Inputs!B14) in Jan 2026 to Dec 2028.</t>
        </is>
      </c>
      <c r="D61" t="inlineStr">
        <is>
          <t>computed</t>
        </is>
      </c>
      <c r="E61" t="inlineStr">
        <is>
          <t>2026-09-29</t>
        </is>
      </c>
      <c r="F61" t="inlineStr">
        <is>
          <t>row:Inputs!AP (share of monthly costs)</t>
        </is>
      </c>
      <c r="G61" t="inlineStr">
        <is>
          <t>i:55e0873f</t>
        </is>
      </c>
      <c r="H61" t="inlineStr">
        <is>
          <t>structure</t>
        </is>
      </c>
      <c r="I61" t="inlineStr">
        <is>
          <t>current</t>
        </is>
      </c>
      <c r="J61" t="inlineStr">
        <is>
          <t>sb</t>
        </is>
      </c>
      <c r="K61" t="inlineStr">
        <is>
          <t>Balance Sheet!{Accounts Payable}</t>
        </is>
      </c>
      <c r="L61" t="inlineStr">
        <is>
          <t>2a22daa68907</t>
        </is>
      </c>
      <c r="M61" t="inlineStr">
        <is>
          <t>data</t>
        </is>
      </c>
      <c r="N61" t="inlineStr">
        <is>
          <t>on-change</t>
        </is>
      </c>
      <c r="O61" t="inlineStr">
        <is>
          <t>recipe:model:driver:Balance Sheet:Accounts Payable</t>
        </is>
      </c>
    </row>
    <row r="62">
      <c r="A62" t="inlineStr">
        <is>
          <t>insight</t>
        </is>
      </c>
      <c r="B62" t="inlineStr">
        <is>
          <t>model</t>
        </is>
      </c>
      <c r="C62" t="inlineStr">
        <is>
          <t>On Cash Flow, Capex = -Capex per month (Inputs!B11) in Jan 2026 to Dec 2028.</t>
        </is>
      </c>
      <c r="D62" t="inlineStr">
        <is>
          <t>computed</t>
        </is>
      </c>
      <c r="E62" t="inlineStr">
        <is>
          <t>2026-09-29</t>
        </is>
      </c>
      <c r="F62" t="inlineStr">
        <is>
          <t>row:Inputs!Capex per month</t>
        </is>
      </c>
      <c r="G62" t="inlineStr">
        <is>
          <t>i:ad8cabff</t>
        </is>
      </c>
      <c r="H62" t="inlineStr">
        <is>
          <t>structure</t>
        </is>
      </c>
      <c r="I62" t="inlineStr">
        <is>
          <t>current</t>
        </is>
      </c>
      <c r="J62" t="inlineStr">
        <is>
          <t>sb</t>
        </is>
      </c>
      <c r="K62" t="inlineStr">
        <is>
          <t>Cash Flow!{Capex}</t>
        </is>
      </c>
      <c r="L62" t="inlineStr">
        <is>
          <t>45452f60b299</t>
        </is>
      </c>
      <c r="M62" t="inlineStr">
        <is>
          <t>data</t>
        </is>
      </c>
      <c r="N62" t="inlineStr">
        <is>
          <t>on-change</t>
        </is>
      </c>
      <c r="O62" t="inlineStr">
        <is>
          <t>recipe:model:driver:Cash Flow:Capex</t>
        </is>
      </c>
    </row>
    <row r="63">
      <c r="A63" t="inlineStr">
        <is>
          <t>insight</t>
        </is>
      </c>
      <c r="B63" t="inlineStr">
        <is>
          <t>model</t>
        </is>
      </c>
      <c r="C63" t="inlineStr">
        <is>
          <t>On P&amp;L, COGS = Revenue x COGS % of revenue (Inputs!B8) in Sep 2026 to Dec 2028.</t>
        </is>
      </c>
      <c r="D63" t="inlineStr">
        <is>
          <t>computed</t>
        </is>
      </c>
      <c r="E63" t="inlineStr">
        <is>
          <t>2026-09-29</t>
        </is>
      </c>
      <c r="F63" t="inlineStr">
        <is>
          <t>row:Inputs!COGS % of revenue</t>
        </is>
      </c>
      <c r="G63" t="inlineStr">
        <is>
          <t>i:12ed5fd6</t>
        </is>
      </c>
      <c r="H63" t="inlineStr">
        <is>
          <t>structure</t>
        </is>
      </c>
      <c r="I63" t="inlineStr">
        <is>
          <t>current</t>
        </is>
      </c>
      <c r="J63" t="inlineStr">
        <is>
          <t>sb</t>
        </is>
      </c>
      <c r="K63" t="inlineStr">
        <is>
          <t>P&amp;L!{COGS}</t>
        </is>
      </c>
      <c r="L63" t="inlineStr">
        <is>
          <t>1553d686234b</t>
        </is>
      </c>
      <c r="M63" t="inlineStr">
        <is>
          <t>data</t>
        </is>
      </c>
      <c r="N63" t="inlineStr">
        <is>
          <t>on-change</t>
        </is>
      </c>
      <c r="O63" t="inlineStr">
        <is>
          <t>recipe:model:driver:P&amp;L:COGS</t>
        </is>
      </c>
    </row>
    <row r="64">
      <c r="A64" t="inlineStr">
        <is>
          <t>insight</t>
        </is>
      </c>
      <c r="B64" t="inlineStr">
        <is>
          <t>model</t>
        </is>
      </c>
      <c r="C64" t="inlineStr">
        <is>
          <t>On P&amp;L, Sales &amp; Marketing = New customers on Revenue x CAC per new customer (Inputs!B7) + Sales on Inputs x Sales (Inputs!B26) in Sep 2026 to Dec 2028.</t>
        </is>
      </c>
      <c r="D64" t="inlineStr">
        <is>
          <t>computed</t>
        </is>
      </c>
      <c r="E64" t="inlineStr">
        <is>
          <t>2026-09-29</t>
        </is>
      </c>
      <c r="F64" t="inlineStr">
        <is>
          <t>row:Inputs!CAC per new customer | row:Inputs!Sales</t>
        </is>
      </c>
      <c r="G64" t="inlineStr">
        <is>
          <t>i:2f8ffd61</t>
        </is>
      </c>
      <c r="H64" t="inlineStr">
        <is>
          <t>structure</t>
        </is>
      </c>
      <c r="I64" t="inlineStr">
        <is>
          <t>current</t>
        </is>
      </c>
      <c r="J64" t="inlineStr">
        <is>
          <t>sb</t>
        </is>
      </c>
      <c r="K64" t="inlineStr">
        <is>
          <t>P&amp;L!{Sales &amp; Marketing}</t>
        </is>
      </c>
      <c r="L64" t="inlineStr">
        <is>
          <t>aea8c34abe06</t>
        </is>
      </c>
      <c r="M64" t="inlineStr">
        <is>
          <t>data</t>
        </is>
      </c>
      <c r="N64" t="inlineStr">
        <is>
          <t>on-change</t>
        </is>
      </c>
      <c r="O64" t="inlineStr">
        <is>
          <t>recipe:model:driver:P&amp;L:Sales &amp; Marketing</t>
        </is>
      </c>
    </row>
    <row r="65">
      <c r="A65" t="inlineStr">
        <is>
          <t>insight</t>
        </is>
      </c>
      <c r="B65" t="inlineStr">
        <is>
          <t>model</t>
        </is>
      </c>
      <c r="C65" t="inlineStr">
        <is>
          <t>On P&amp;L, R&amp;D = Engineering on Inputs x Engineering (Inputs!B25) in Sep 2026 to Dec 2028.</t>
        </is>
      </c>
      <c r="D65" t="inlineStr">
        <is>
          <t>computed</t>
        </is>
      </c>
      <c r="E65" t="inlineStr">
        <is>
          <t>2026-09-29</t>
        </is>
      </c>
      <c r="F65" t="inlineStr">
        <is>
          <t>row:Inputs!Engineering</t>
        </is>
      </c>
      <c r="G65" t="inlineStr">
        <is>
          <t>i:72d97b6d</t>
        </is>
      </c>
      <c r="H65" t="inlineStr">
        <is>
          <t>structure</t>
        </is>
      </c>
      <c r="I65" t="inlineStr">
        <is>
          <t>current</t>
        </is>
      </c>
      <c r="J65" t="inlineStr">
        <is>
          <t>sb</t>
        </is>
      </c>
      <c r="K65" t="inlineStr">
        <is>
          <t>P&amp;L!{R&amp;D}</t>
        </is>
      </c>
      <c r="L65" t="inlineStr">
        <is>
          <t>53b8f6e1dce9</t>
        </is>
      </c>
      <c r="M65" t="inlineStr">
        <is>
          <t>data</t>
        </is>
      </c>
      <c r="N65" t="inlineStr">
        <is>
          <t>on-change</t>
        </is>
      </c>
      <c r="O65" t="inlineStr">
        <is>
          <t>recipe:model:driver:P&amp;L:R&amp;D</t>
        </is>
      </c>
    </row>
    <row r="66">
      <c r="A66" t="inlineStr">
        <is>
          <t>insight</t>
        </is>
      </c>
      <c r="B66" t="inlineStr">
        <is>
          <t>model</t>
        </is>
      </c>
      <c r="C66" t="inlineStr">
        <is>
          <t>On P&amp;L, G&amp;A = G&amp;A on Inputs x G&amp;A (Inputs!B27) + Fixed G&amp;A per month (Inputs!B9) in Sep 2026 to Dec 2028 (27 of its 28 formula cells).</t>
        </is>
      </c>
      <c r="D66" t="inlineStr">
        <is>
          <t>computed</t>
        </is>
      </c>
      <c r="E66" t="inlineStr">
        <is>
          <t>2026-09-29</t>
        </is>
      </c>
      <c r="F66" t="inlineStr">
        <is>
          <t>row:Inputs!Fixed G&amp;A per month | row:Inputs!G&amp;A</t>
        </is>
      </c>
      <c r="G66" t="inlineStr">
        <is>
          <t>i:97f4d752</t>
        </is>
      </c>
      <c r="H66" t="inlineStr">
        <is>
          <t>structure</t>
        </is>
      </c>
      <c r="I66" t="inlineStr">
        <is>
          <t>current</t>
        </is>
      </c>
      <c r="J66" t="inlineStr">
        <is>
          <t>sb</t>
        </is>
      </c>
      <c r="K66" t="inlineStr">
        <is>
          <t>P&amp;L!{G&amp;A}</t>
        </is>
      </c>
      <c r="L66" t="inlineStr">
        <is>
          <t>f9fe90ff1370</t>
        </is>
      </c>
      <c r="M66" t="inlineStr">
        <is>
          <t>data</t>
        </is>
      </c>
      <c r="N66" t="inlineStr">
        <is>
          <t>on-change</t>
        </is>
      </c>
      <c r="O66" t="inlineStr">
        <is>
          <t>recipe:model:driver:P&amp;L:G&amp;A</t>
        </is>
      </c>
    </row>
    <row r="67">
      <c r="A67" t="inlineStr">
        <is>
          <t>insight</t>
        </is>
      </c>
      <c r="B67" t="inlineStr">
        <is>
          <t>model</t>
        </is>
      </c>
      <c r="C67" t="inlineStr">
        <is>
          <t>On P&amp;L, D&amp;A = D&amp;A per month (Inputs!B10) in Sep 2026 to Dec 2028.</t>
        </is>
      </c>
      <c r="D67" t="inlineStr">
        <is>
          <t>computed</t>
        </is>
      </c>
      <c r="E67" t="inlineStr">
        <is>
          <t>2026-09-29</t>
        </is>
      </c>
      <c r="F67" t="inlineStr">
        <is>
          <t>row:Inputs!D&amp;A per month</t>
        </is>
      </c>
      <c r="G67" t="inlineStr">
        <is>
          <t>i:cebc18ee</t>
        </is>
      </c>
      <c r="H67" t="inlineStr">
        <is>
          <t>structure</t>
        </is>
      </c>
      <c r="I67" t="inlineStr">
        <is>
          <t>current</t>
        </is>
      </c>
      <c r="J67" t="inlineStr">
        <is>
          <t>sb</t>
        </is>
      </c>
      <c r="K67" t="inlineStr">
        <is>
          <t>P&amp;L!{D&amp;A}</t>
        </is>
      </c>
      <c r="L67" t="inlineStr">
        <is>
          <t>3982996d7b4b</t>
        </is>
      </c>
      <c r="M67" t="inlineStr">
        <is>
          <t>data</t>
        </is>
      </c>
      <c r="N67" t="inlineStr">
        <is>
          <t>on-change</t>
        </is>
      </c>
      <c r="O67" t="inlineStr">
        <is>
          <t>recipe:model:driver:P&amp;L:D&amp;A</t>
        </is>
      </c>
    </row>
    <row r="68">
      <c r="A68" t="inlineStr">
        <is>
          <t>insight</t>
        </is>
      </c>
      <c r="B68" t="inlineStr">
        <is>
          <t>model</t>
        </is>
      </c>
      <c r="C68" t="inlineStr">
        <is>
          <t>On P&amp;L, Taxes = MAX(0, EBIT) x Tax rate (Inputs!B12) in Sep 2026 to Dec 2028.</t>
        </is>
      </c>
      <c r="D68" t="inlineStr">
        <is>
          <t>computed</t>
        </is>
      </c>
      <c r="E68" t="inlineStr">
        <is>
          <t>2026-09-29</t>
        </is>
      </c>
      <c r="F68" t="inlineStr">
        <is>
          <t>row:Inputs!Tax rate</t>
        </is>
      </c>
      <c r="G68" t="inlineStr">
        <is>
          <t>i:54ef7a02</t>
        </is>
      </c>
      <c r="H68" t="inlineStr">
        <is>
          <t>structure</t>
        </is>
      </c>
      <c r="I68" t="inlineStr">
        <is>
          <t>current</t>
        </is>
      </c>
      <c r="J68" t="inlineStr">
        <is>
          <t>sb</t>
        </is>
      </c>
      <c r="K68" t="inlineStr">
        <is>
          <t>P&amp;L!{Taxes}</t>
        </is>
      </c>
      <c r="L68" t="inlineStr">
        <is>
          <t>c686efbfab5a</t>
        </is>
      </c>
      <c r="M68" t="inlineStr">
        <is>
          <t>data</t>
        </is>
      </c>
      <c r="N68" t="inlineStr">
        <is>
          <t>on-change</t>
        </is>
      </c>
      <c r="O68" t="inlineStr">
        <is>
          <t>recipe:model:driver:P&amp;L:Taxes</t>
        </is>
      </c>
    </row>
    <row r="69">
      <c r="A69" t="inlineStr">
        <is>
          <t>insight</t>
        </is>
      </c>
      <c r="B69" t="inlineStr">
        <is>
          <t>model</t>
        </is>
      </c>
      <c r="C69" t="inlineStr">
        <is>
          <t>On Revenue, New MRR = Beginning MRR x Growth (Inputs!B4) in Sep 2026 to Dec 2028 (27 of its 28 formula cells).</t>
        </is>
      </c>
      <c r="D69" t="inlineStr">
        <is>
          <t>computed</t>
        </is>
      </c>
      <c r="E69" t="inlineStr">
        <is>
          <t>2026-09-29</t>
        </is>
      </c>
      <c r="F69" t="inlineStr">
        <is>
          <t>row:Inputs!Growth</t>
        </is>
      </c>
      <c r="G69" t="inlineStr">
        <is>
          <t>i:efbdee17</t>
        </is>
      </c>
      <c r="H69" t="inlineStr">
        <is>
          <t>structure</t>
        </is>
      </c>
      <c r="I69" t="inlineStr">
        <is>
          <t>current</t>
        </is>
      </c>
      <c r="J69" t="inlineStr">
        <is>
          <t>sb</t>
        </is>
      </c>
      <c r="K69" t="inlineStr">
        <is>
          <t>Revenue!{New MRR}</t>
        </is>
      </c>
      <c r="L69" t="inlineStr">
        <is>
          <t>bd59c6a4186f</t>
        </is>
      </c>
      <c r="M69" t="inlineStr">
        <is>
          <t>data</t>
        </is>
      </c>
      <c r="N69" t="inlineStr">
        <is>
          <t>on-change</t>
        </is>
      </c>
      <c r="O69" t="inlineStr">
        <is>
          <t>recipe:model:driver:Revenue:New MRR</t>
        </is>
      </c>
    </row>
    <row r="70">
      <c r="A70" t="inlineStr">
        <is>
          <t>insight</t>
        </is>
      </c>
      <c r="B70" t="inlineStr">
        <is>
          <t>model</t>
        </is>
      </c>
      <c r="C70" t="inlineStr">
        <is>
          <t>On Revenue, Churned MRR = Beginning MRR x Monthly churn (Inputs!B5) in Sep 2026 to Dec 2028.</t>
        </is>
      </c>
      <c r="D70" t="inlineStr">
        <is>
          <t>computed</t>
        </is>
      </c>
      <c r="E70" t="inlineStr">
        <is>
          <t>2026-09-29</t>
        </is>
      </c>
      <c r="F70" t="inlineStr">
        <is>
          <t>row:Inputs!Monthly churn</t>
        </is>
      </c>
      <c r="G70" t="inlineStr">
        <is>
          <t>i:1cb5b9f8</t>
        </is>
      </c>
      <c r="H70" t="inlineStr">
        <is>
          <t>structure</t>
        </is>
      </c>
      <c r="I70" t="inlineStr">
        <is>
          <t>current</t>
        </is>
      </c>
      <c r="J70" t="inlineStr">
        <is>
          <t>sb</t>
        </is>
      </c>
      <c r="K70" t="inlineStr">
        <is>
          <t>Revenue!{Churned MRR}</t>
        </is>
      </c>
      <c r="L70" t="inlineStr">
        <is>
          <t>c3a40f71af77</t>
        </is>
      </c>
      <c r="M70" t="inlineStr">
        <is>
          <t>data</t>
        </is>
      </c>
      <c r="N70" t="inlineStr">
        <is>
          <t>on-change</t>
        </is>
      </c>
      <c r="O70" t="inlineStr">
        <is>
          <t>recipe:model:driver:Revenue:Churned MRR</t>
        </is>
      </c>
    </row>
    <row r="71">
      <c r="A71" t="inlineStr">
        <is>
          <t>insight</t>
        </is>
      </c>
      <c r="B71" t="inlineStr">
        <is>
          <t>model</t>
        </is>
      </c>
      <c r="C71" t="inlineStr">
        <is>
          <t>On Revenue, New customers = New MRR / ARPA per month (Inputs!B6) in Sep 2026 to Dec 2028.</t>
        </is>
      </c>
      <c r="D71" t="inlineStr">
        <is>
          <t>computed</t>
        </is>
      </c>
      <c r="E71" t="inlineStr">
        <is>
          <t>2026-09-29</t>
        </is>
      </c>
      <c r="F71" t="inlineStr">
        <is>
          <t>row:Inputs!ARPA per month</t>
        </is>
      </c>
      <c r="G71" t="inlineStr">
        <is>
          <t>i:2fd91cec</t>
        </is>
      </c>
      <c r="H71" t="inlineStr">
        <is>
          <t>structure</t>
        </is>
      </c>
      <c r="I71" t="inlineStr">
        <is>
          <t>current</t>
        </is>
      </c>
      <c r="J71" t="inlineStr">
        <is>
          <t>sb</t>
        </is>
      </c>
      <c r="K71" t="inlineStr">
        <is>
          <t>Revenue!{New customers}</t>
        </is>
      </c>
      <c r="L71" t="inlineStr">
        <is>
          <t>6935aa56437d</t>
        </is>
      </c>
      <c r="M71" t="inlineStr">
        <is>
          <t>data</t>
        </is>
      </c>
      <c r="N71" t="inlineStr">
        <is>
          <t>on-change</t>
        </is>
      </c>
      <c r="O71" t="inlineStr">
        <is>
          <t>recipe:model:driver:Revenue:New customers</t>
        </is>
      </c>
    </row>
    <row r="72">
      <c r="A72" t="inlineStr">
        <is>
          <t>insight</t>
        </is>
      </c>
      <c r="B72" t="inlineStr">
        <is>
          <t>model</t>
        </is>
      </c>
      <c r="C72" t="inlineStr">
        <is>
          <t>Subtotals subtract 3 rows that hold positive numbers (COGS, D&amp;A and Churned MRR), for example Ending MRR = Beginning MRR + New MRR - Churned MRR on Revenue; no subtotal adds a row of negative numbers.</t>
        </is>
      </c>
      <c r="D72" t="inlineStr">
        <is>
          <t>computed</t>
        </is>
      </c>
      <c r="E72" t="inlineStr">
        <is>
          <t>2026-09-29</t>
        </is>
      </c>
      <c r="F72" t="inlineStr">
        <is>
          <t>row:P&amp;L!COGS | row:P&amp;L!Revenue | row:Revenue!Beginning MRR</t>
        </is>
      </c>
      <c r="G72" t="inlineStr">
        <is>
          <t>i:7e1358e2</t>
        </is>
      </c>
      <c r="H72" t="inlineStr">
        <is>
          <t>structure</t>
        </is>
      </c>
      <c r="I72" t="inlineStr">
        <is>
          <t>current</t>
        </is>
      </c>
      <c r="J72" t="inlineStr">
        <is>
          <t>sb</t>
        </is>
      </c>
      <c r="M72" t="inlineStr">
        <is>
          <t>data</t>
        </is>
      </c>
      <c r="N72" t="inlineStr">
        <is>
          <t>on-change</t>
        </is>
      </c>
      <c r="O72" t="inlineStr">
        <is>
          <t>recipe:model:sign</t>
        </is>
      </c>
    </row>
    <row r="73">
      <c r="A73" t="inlineStr">
        <is>
          <t>insight</t>
        </is>
      </c>
      <c r="B73" t="inlineStr">
        <is>
          <t>model</t>
        </is>
      </c>
      <c r="C73" t="inlineStr">
        <is>
          <t>The titles on Revenue, P&amp;L, Cash Flow and Balance Sheet and 6 input notes on Inputs say "USD" and nothing else in the file names a scale, so money figures are as shown (a currency and no thousands or millions).</t>
        </is>
      </c>
      <c r="D73" t="inlineStr">
        <is>
          <t>computed</t>
        </is>
      </c>
      <c r="E73" t="inlineStr">
        <is>
          <t>2026-09-29</t>
        </is>
      </c>
      <c r="F73" t="inlineStr">
        <is>
          <t>row:Balance Sheet!Cash | row:P&amp;L!Revenue</t>
        </is>
      </c>
      <c r="G73" t="inlineStr">
        <is>
          <t>i:3552d532</t>
        </is>
      </c>
      <c r="H73" t="inlineStr">
        <is>
          <t>structure</t>
        </is>
      </c>
      <c r="I73" t="inlineStr">
        <is>
          <t>current</t>
        </is>
      </c>
      <c r="J73" t="inlineStr">
        <is>
          <t>sb</t>
        </is>
      </c>
      <c r="M73" t="inlineStr">
        <is>
          <t>data</t>
        </is>
      </c>
      <c r="N73" t="inlineStr">
        <is>
          <t>on-change</t>
        </is>
      </c>
      <c r="O73" t="inlineStr">
        <is>
          <t>recipe:model:scale</t>
        </is>
      </c>
    </row>
    <row r="74">
      <c r="A74" t="inlineStr">
        <is>
          <t>insight</t>
        </is>
      </c>
      <c r="B74" t="inlineStr">
        <is>
          <t>model</t>
        </is>
      </c>
      <c r="C74" t="inlineStr">
        <is>
          <t>Ending MRR on Revenue is lowest at 188,399.00 in Jan 2026 and is 441,901.29 in Dec 2028.</t>
        </is>
      </c>
      <c r="D74" t="inlineStr">
        <is>
          <t>computed</t>
        </is>
      </c>
      <c r="E74" t="inlineStr">
        <is>
          <t>2026-09-29</t>
        </is>
      </c>
      <c r="F74" t="inlineStr">
        <is>
          <t>row:P&amp;L!Revenue | row:Revenue!Ending MRR</t>
        </is>
      </c>
      <c r="G74" t="inlineStr">
        <is>
          <t>i:ffd0b042</t>
        </is>
      </c>
      <c r="H74" t="inlineStr">
        <is>
          <t>structure</t>
        </is>
      </c>
      <c r="I74" t="inlineStr">
        <is>
          <t>current</t>
        </is>
      </c>
      <c r="J74" t="inlineStr">
        <is>
          <t>sb</t>
        </is>
      </c>
      <c r="K74" t="inlineStr">
        <is>
          <t>Revenue!{Ending MRR}</t>
        </is>
      </c>
      <c r="L74" t="inlineStr">
        <is>
          <t>679683b58670</t>
        </is>
      </c>
      <c r="M74" t="inlineStr">
        <is>
          <t>data</t>
        </is>
      </c>
      <c r="N74" t="inlineStr">
        <is>
          <t>on-change</t>
        </is>
      </c>
      <c r="O74" t="inlineStr">
        <is>
          <t>recipe:model:series:Revenue:Ending MRR</t>
        </is>
      </c>
    </row>
    <row r="75">
      <c r="A75" t="inlineStr">
        <is>
          <t>insight</t>
        </is>
      </c>
      <c r="B75" t="inlineStr">
        <is>
          <t>model</t>
        </is>
      </c>
      <c r="C75" t="inlineStr">
        <is>
          <t>Ending Cash on Cash Flow is lowest at 934,948.55 in Feb 2027 and is 4,452,370.63 in Dec 2028.</t>
        </is>
      </c>
      <c r="D75" t="inlineStr">
        <is>
          <t>computed</t>
        </is>
      </c>
      <c r="E75" t="inlineStr">
        <is>
          <t>2026-09-29</t>
        </is>
      </c>
      <c r="F75" t="inlineStr">
        <is>
          <t>row:Balance Sheet!Cash | row:Cash Flow!Ending Cash</t>
        </is>
      </c>
      <c r="G75" t="inlineStr">
        <is>
          <t>i:beca76b6</t>
        </is>
      </c>
      <c r="H75" t="inlineStr">
        <is>
          <t>structure</t>
        </is>
      </c>
      <c r="I75" t="inlineStr">
        <is>
          <t>current</t>
        </is>
      </c>
      <c r="J75" t="inlineStr">
        <is>
          <t>sb</t>
        </is>
      </c>
      <c r="K75" t="inlineStr">
        <is>
          <t>Cash Flow!{Ending Cash}</t>
        </is>
      </c>
      <c r="L75" t="inlineStr">
        <is>
          <t>a1d6677e389e</t>
        </is>
      </c>
      <c r="M75" t="inlineStr">
        <is>
          <t>data</t>
        </is>
      </c>
      <c r="N75" t="inlineStr">
        <is>
          <t>on-change</t>
        </is>
      </c>
      <c r="O75" t="inlineStr">
        <is>
          <t>recipe:model:series:Cash Flow:Ending Cash</t>
        </is>
      </c>
    </row>
    <row r="76">
      <c r="A76" t="inlineStr">
        <is>
          <t>insight</t>
        </is>
      </c>
      <c r="B76" t="inlineStr">
        <is>
          <t>model</t>
        </is>
      </c>
      <c r="C76" t="inlineStr">
        <is>
          <t>Cash on Balance Sheet is lowest at 934,948.55 in Feb 2027 and is 4,452,370.63 in Dec 2028.</t>
        </is>
      </c>
      <c r="D76" t="inlineStr">
        <is>
          <t>computed</t>
        </is>
      </c>
      <c r="E76" t="inlineStr">
        <is>
          <t>2026-09-29</t>
        </is>
      </c>
      <c r="F76" t="inlineStr">
        <is>
          <t>row:Balance Sheet!Cash</t>
        </is>
      </c>
      <c r="G76" t="inlineStr">
        <is>
          <t>i:3c3c93fa</t>
        </is>
      </c>
      <c r="H76" t="inlineStr">
        <is>
          <t>structure</t>
        </is>
      </c>
      <c r="I76" t="inlineStr">
        <is>
          <t>current</t>
        </is>
      </c>
      <c r="J76" t="inlineStr">
        <is>
          <t>sb</t>
        </is>
      </c>
      <c r="K76" t="inlineStr">
        <is>
          <t>Balance Sheet!{Cash}</t>
        </is>
      </c>
      <c r="L76" t="inlineStr">
        <is>
          <t>49cd12a72a62</t>
        </is>
      </c>
      <c r="M76" t="inlineStr">
        <is>
          <t>data</t>
        </is>
      </c>
      <c r="N76" t="inlineStr">
        <is>
          <t>on-change</t>
        </is>
      </c>
      <c r="O76" t="inlineStr">
        <is>
          <t>recipe:model:series:Balance Sheet:Cash</t>
        </is>
      </c>
    </row>
    <row r="77">
      <c r="A77" t="inlineStr">
        <is>
          <t>insight</t>
        </is>
      </c>
      <c r="B77" t="inlineStr">
        <is>
          <t>model</t>
        </is>
      </c>
      <c r="C77" t="inlineStr">
        <is>
          <t>Net Income on Cash Flow totals -4,551,584.07 in 2026, -5,582,217.70 in 2027 and -6,659,165.16 in 2028.</t>
        </is>
      </c>
      <c r="D77" t="inlineStr">
        <is>
          <t>computed</t>
        </is>
      </c>
      <c r="E77" t="inlineStr">
        <is>
          <t>2026-09-29</t>
        </is>
      </c>
      <c r="F77" t="inlineStr">
        <is>
          <t>row:Balance Sheet!Cash | row:Cash Flow!Net Income | row:P&amp;L!Net Income</t>
        </is>
      </c>
      <c r="G77" t="inlineStr">
        <is>
          <t>i:376a8d16</t>
        </is>
      </c>
      <c r="H77" t="inlineStr">
        <is>
          <t>structure</t>
        </is>
      </c>
      <c r="I77" t="inlineStr">
        <is>
          <t>current</t>
        </is>
      </c>
      <c r="J77" t="inlineStr">
        <is>
          <t>sb</t>
        </is>
      </c>
      <c r="K77" t="inlineStr">
        <is>
          <t>Cash Flow!{Net Income}</t>
        </is>
      </c>
      <c r="L77" t="inlineStr">
        <is>
          <t>83777694c51b</t>
        </is>
      </c>
      <c r="M77" t="inlineStr">
        <is>
          <t>data</t>
        </is>
      </c>
      <c r="N77" t="inlineStr">
        <is>
          <t>on-change</t>
        </is>
      </c>
      <c r="O77" t="inlineStr">
        <is>
          <t>recipe:model:totals:Cash Flow:Net Income</t>
        </is>
      </c>
    </row>
    <row r="78">
      <c r="A78" t="inlineStr">
        <is>
          <t>insight</t>
        </is>
      </c>
      <c r="B78" t="inlineStr">
        <is>
          <t>model</t>
        </is>
      </c>
      <c r="C78" t="inlineStr">
        <is>
          <t>6 cells hold the formula problems found, each counted once: New MRR, Nov 2027 (Revenue!X5) uses Monthly churn (Inputs!B5) where the row uses Growth (Inputs!B4); G&amp;A, Mar 2028 (P&amp;L!AB9) drops + Fixed G&amp;A per month (Inputs!B9); Accounts Receivable, Jul 2028 (Balance Sheet!AF5) reads prior Revenue on P&amp;L where the row reads Revenue on P&amp;L; Revenue, Jan 2027 (P&amp;L!N4) multiplies a link by a typed 1.07, adding 17,967.94; Cash, May 2027 (Balance Sheet!R4) is a typed number in a row of formulas, the month the Balance Check row fails; Starting MRR (Inputs!B3) is an input no formula uses, and the same value is typed in Revenue!B4. The owner has answered about 6 of them.</t>
        </is>
      </c>
      <c r="D78" t="inlineStr">
        <is>
          <t>computed</t>
        </is>
      </c>
      <c r="E78" t="inlineStr">
        <is>
          <t>2026-09-29</t>
        </is>
      </c>
      <c r="F78" t="inlineStr">
        <is>
          <t>row:Balance Sheet!Accounts Receivable | row:Balance Sheet!Cash | row:Inputs!Fixed G&amp;A per month | row:Inputs!Growth | row:Inputs!Monthly churn | row:Inputs!Starting MRR | row:P&amp;L!G&amp;A | row:P&amp;L!Revenue</t>
        </is>
      </c>
      <c r="G78" t="inlineStr">
        <is>
          <t>i:03fa4dff</t>
        </is>
      </c>
      <c r="H78" t="inlineStr">
        <is>
          <t>structure</t>
        </is>
      </c>
      <c r="I78" t="inlineStr">
        <is>
          <t>current</t>
        </is>
      </c>
      <c r="J78" t="inlineStr">
        <is>
          <t>sb</t>
        </is>
      </c>
      <c r="M78" t="inlineStr">
        <is>
          <t>data</t>
        </is>
      </c>
      <c r="N78" t="inlineStr">
        <is>
          <t>on-change</t>
        </is>
      </c>
      <c r="O78" t="inlineStr">
        <is>
          <t>recipe:model:ledger</t>
        </is>
      </c>
    </row>
    <row r="79">
      <c r="A79" t="inlineStr">
        <is>
          <t>insight</t>
        </is>
      </c>
      <c r="B79" t="inlineStr">
        <is>
          <t>structure</t>
        </is>
      </c>
      <c r="C79" t="inlineStr">
        <is>
          <t>P&amp;L has 1 total row inside the data (row 10), left out of every count.</t>
        </is>
      </c>
      <c r="D79" t="inlineStr">
        <is>
          <t>computed</t>
        </is>
      </c>
      <c r="E79" t="inlineStr">
        <is>
          <t>2026-09-29</t>
        </is>
      </c>
      <c r="F79" t="inlineStr">
        <is>
          <t>sheet:P&amp;L</t>
        </is>
      </c>
      <c r="G79" t="inlineStr">
        <is>
          <t>i:64c8c54a</t>
        </is>
      </c>
      <c r="H79" t="inlineStr">
        <is>
          <t>structure</t>
        </is>
      </c>
      <c r="I79" t="inlineStr">
        <is>
          <t>current</t>
        </is>
      </c>
      <c r="J79" t="inlineStr">
        <is>
          <t>sb</t>
        </is>
      </c>
      <c r="M79" t="inlineStr">
        <is>
          <t>data</t>
        </is>
      </c>
      <c r="N79" t="inlineStr">
        <is>
          <t>on-change</t>
        </is>
      </c>
      <c r="O79" t="inlineStr">
        <is>
          <t>recipe:structure:totals_rows</t>
        </is>
      </c>
    </row>
    <row r="80">
      <c r="A80" t="inlineStr">
        <is>
          <t>insight</t>
        </is>
      </c>
      <c r="B80" t="inlineStr">
        <is>
          <t>structure</t>
        </is>
      </c>
      <c r="C80" t="inlineStr">
        <is>
          <t>Balance Sheet has 3 total rows inside the data (rows 7, 10, 14), left out of every count.</t>
        </is>
      </c>
      <c r="D80" t="inlineStr">
        <is>
          <t>computed</t>
        </is>
      </c>
      <c r="E80" t="inlineStr">
        <is>
          <t>2026-09-29</t>
        </is>
      </c>
      <c r="F80" t="inlineStr">
        <is>
          <t>sheet:Balance Sheet</t>
        </is>
      </c>
      <c r="G80" t="inlineStr">
        <is>
          <t>i:1ab58000</t>
        </is>
      </c>
      <c r="H80" t="inlineStr">
        <is>
          <t>structure</t>
        </is>
      </c>
      <c r="I80" t="inlineStr">
        <is>
          <t>current</t>
        </is>
      </c>
      <c r="J80" t="inlineStr">
        <is>
          <t>sb</t>
        </is>
      </c>
      <c r="M80" t="inlineStr">
        <is>
          <t>data</t>
        </is>
      </c>
      <c r="N80" t="inlineStr">
        <is>
          <t>on-change</t>
        </is>
      </c>
      <c r="O80" t="inlineStr">
        <is>
          <t>recipe:structure:totals_rows</t>
        </is>
      </c>
    </row>
    <row r="81">
      <c r="A81" t="inlineStr">
        <is>
          <t>insight</t>
        </is>
      </c>
      <c r="B81" t="inlineStr">
        <is>
          <t>model</t>
        </is>
      </c>
      <c r="C81" t="inlineStr">
        <is>
          <t>Without the Engineering row on Inputs (the owner's pick: An approved plan), Ending MRR on Revenue is lowest at 188,399.00 in Jan 2026 and is 441,901.29 in Dec 2028.</t>
        </is>
      </c>
      <c r="D81" t="inlineStr">
        <is>
          <t>computed</t>
        </is>
      </c>
      <c r="E81" t="inlineStr">
        <is>
          <t>2026-09-29</t>
        </is>
      </c>
      <c r="F81" t="inlineStr">
        <is>
          <t>row:Inputs!Engineering | row:P&amp;L!Revenue | row:Revenue!Ending MRR</t>
        </is>
      </c>
      <c r="G81" t="inlineStr">
        <is>
          <t>i:8729e131</t>
        </is>
      </c>
      <c r="H81" t="inlineStr">
        <is>
          <t>structure</t>
        </is>
      </c>
      <c r="I81" t="inlineStr">
        <is>
          <t>current</t>
        </is>
      </c>
      <c r="J81" t="inlineStr">
        <is>
          <t>sb</t>
        </is>
      </c>
      <c r="K81" t="inlineStr">
        <is>
          <t>Revenue!{Ending MRR}</t>
        </is>
      </c>
      <c r="L81" t="inlineStr">
        <is>
          <t>679683b58670</t>
        </is>
      </c>
      <c r="M81" t="inlineStr">
        <is>
          <t>data</t>
        </is>
      </c>
      <c r="N81" t="inlineStr">
        <is>
          <t>on-change</t>
        </is>
      </c>
      <c r="O81" t="inlineStr">
        <is>
          <t>recipe:model:without:Inputs:Engineering:Revenue:Ending MRR</t>
        </is>
      </c>
    </row>
    <row r="82">
      <c r="A82" t="inlineStr">
        <is>
          <t>insight</t>
        </is>
      </c>
      <c r="B82" t="inlineStr">
        <is>
          <t>model</t>
        </is>
      </c>
      <c r="C82" t="inlineStr">
        <is>
          <t>Without the Engineering row on Inputs (the owner's pick: An approved plan), Ending Cash on Cash Flow is lowest at 3,246,629.79 in Sep 2026 and is 20,389,932.33 in Dec 2028.</t>
        </is>
      </c>
      <c r="D82" t="inlineStr">
        <is>
          <t>computed</t>
        </is>
      </c>
      <c r="E82" t="inlineStr">
        <is>
          <t>2026-09-29</t>
        </is>
      </c>
      <c r="F82" t="inlineStr">
        <is>
          <t>row:Balance Sheet!Cash | row:Cash Flow!Ending Cash | row:Inputs!Engineering</t>
        </is>
      </c>
      <c r="G82" t="inlineStr">
        <is>
          <t>i:f35a7d7b</t>
        </is>
      </c>
      <c r="H82" t="inlineStr">
        <is>
          <t>structure</t>
        </is>
      </c>
      <c r="I82" t="inlineStr">
        <is>
          <t>current</t>
        </is>
      </c>
      <c r="J82" t="inlineStr">
        <is>
          <t>sb</t>
        </is>
      </c>
      <c r="K82" t="inlineStr">
        <is>
          <t>Cash Flow!{Ending Cash}</t>
        </is>
      </c>
      <c r="L82" t="inlineStr">
        <is>
          <t>a1d6677e389e</t>
        </is>
      </c>
      <c r="M82" t="inlineStr">
        <is>
          <t>data</t>
        </is>
      </c>
      <c r="N82" t="inlineStr">
        <is>
          <t>on-change</t>
        </is>
      </c>
      <c r="O82" t="inlineStr">
        <is>
          <t>recipe:model:without:Inputs:Engineering:Cash Flow:Ending Cash</t>
        </is>
      </c>
    </row>
    <row r="83">
      <c r="A83" t="inlineStr">
        <is>
          <t>insight</t>
        </is>
      </c>
      <c r="B83" t="inlineStr">
        <is>
          <t>model</t>
        </is>
      </c>
      <c r="C83" t="inlineStr">
        <is>
          <t>Without the Engineering row on Inputs (the owner's pick: An approved plan), Cash on Balance Sheet, with its typed R4 kept as typed, is lowest at 3,246,629.79 in Sep 2026 and is 20,389,932.33 in Dec 2028.</t>
        </is>
      </c>
      <c r="D83" t="inlineStr">
        <is>
          <t>computed</t>
        </is>
      </c>
      <c r="E83" t="inlineStr">
        <is>
          <t>2026-09-29</t>
        </is>
      </c>
      <c r="F83" t="inlineStr">
        <is>
          <t>row:Balance Sheet!Cash | row:Inputs!Engineering</t>
        </is>
      </c>
      <c r="G83" t="inlineStr">
        <is>
          <t>i:095cf125</t>
        </is>
      </c>
      <c r="H83" t="inlineStr">
        <is>
          <t>structure</t>
        </is>
      </c>
      <c r="I83" t="inlineStr">
        <is>
          <t>current</t>
        </is>
      </c>
      <c r="J83" t="inlineStr">
        <is>
          <t>sb</t>
        </is>
      </c>
      <c r="K83" t="inlineStr">
        <is>
          <t>Balance Sheet!{Cash}</t>
        </is>
      </c>
      <c r="L83" t="inlineStr">
        <is>
          <t>49cd12a72a62</t>
        </is>
      </c>
      <c r="M83" t="inlineStr">
        <is>
          <t>data</t>
        </is>
      </c>
      <c r="N83" t="inlineStr">
        <is>
          <t>on-change</t>
        </is>
      </c>
      <c r="O83" t="inlineStr">
        <is>
          <t>recipe:model:without:Inputs:Engineering:Balance Sheet:Cash</t>
        </is>
      </c>
    </row>
    <row r="84">
      <c r="A84" t="inlineStr">
        <is>
          <t>insight</t>
        </is>
      </c>
      <c r="B84" t="inlineStr">
        <is>
          <t>model</t>
        </is>
      </c>
      <c r="C84" t="inlineStr">
        <is>
          <t>Without the Equity raised row on Cash Flow (the owner's pick: A plan), Ending MRR on Revenue is lowest at 188,399.00 in Jan 2026 and is 441,901.29 in Dec 2028.</t>
        </is>
      </c>
      <c r="D84" t="inlineStr">
        <is>
          <t>computed</t>
        </is>
      </c>
      <c r="E84" t="inlineStr">
        <is>
          <t>2026-09-29</t>
        </is>
      </c>
      <c r="F84" t="inlineStr">
        <is>
          <t>row:Balance Sheet!Cash | row:Cash Flow!Equity raised | row:P&amp;L!Revenue</t>
        </is>
      </c>
      <c r="G84" t="inlineStr">
        <is>
          <t>i:2b000877</t>
        </is>
      </c>
      <c r="H84" t="inlineStr">
        <is>
          <t>structure</t>
        </is>
      </c>
      <c r="I84" t="inlineStr">
        <is>
          <t>current</t>
        </is>
      </c>
      <c r="J84" t="inlineStr">
        <is>
          <t>sb</t>
        </is>
      </c>
      <c r="K84" t="inlineStr">
        <is>
          <t>Revenue!{Ending MRR}</t>
        </is>
      </c>
      <c r="L84" t="inlineStr">
        <is>
          <t>679683b58670</t>
        </is>
      </c>
      <c r="M84" t="inlineStr">
        <is>
          <t>data</t>
        </is>
      </c>
      <c r="N84" t="inlineStr">
        <is>
          <t>on-change</t>
        </is>
      </c>
      <c r="O84" t="inlineStr">
        <is>
          <t>recipe:model:without:Cash Flow:Equity raised:Revenue:Ending MRR</t>
        </is>
      </c>
    </row>
    <row r="85">
      <c r="A85" t="inlineStr">
        <is>
          <t>insight</t>
        </is>
      </c>
      <c r="B85" t="inlineStr">
        <is>
          <t>model</t>
        </is>
      </c>
      <c r="C85" t="inlineStr">
        <is>
          <t>Without the Equity raised row on Cash Flow (the owner's pick: A plan), Ending Cash on Cash Flow is lowest at its end, -10,547,629.37 in Dec 2028; it first goes below zero in May 2027.</t>
        </is>
      </c>
      <c r="D85" t="inlineStr">
        <is>
          <t>computed</t>
        </is>
      </c>
      <c r="E85" t="inlineStr">
        <is>
          <t>2026-09-29</t>
        </is>
      </c>
      <c r="F85" t="inlineStr">
        <is>
          <t>row:Balance Sheet!Cash | row:Cash Flow!Ending Cash | row:Cash Flow!Equity raised</t>
        </is>
      </c>
      <c r="G85" t="inlineStr">
        <is>
          <t>i:16ba5dd1</t>
        </is>
      </c>
      <c r="H85" t="inlineStr">
        <is>
          <t>structure</t>
        </is>
      </c>
      <c r="I85" t="inlineStr">
        <is>
          <t>current</t>
        </is>
      </c>
      <c r="J85" t="inlineStr">
        <is>
          <t>sb</t>
        </is>
      </c>
      <c r="K85" t="inlineStr">
        <is>
          <t>Cash Flow!{Ending Cash}</t>
        </is>
      </c>
      <c r="L85" t="inlineStr">
        <is>
          <t>a1d6677e389e</t>
        </is>
      </c>
      <c r="M85" t="inlineStr">
        <is>
          <t>data</t>
        </is>
      </c>
      <c r="N85" t="inlineStr">
        <is>
          <t>on-change</t>
        </is>
      </c>
      <c r="O85" t="inlineStr">
        <is>
          <t>recipe:model:without:Cash Flow:Equity raised:Cash Flow:Ending Cash</t>
        </is>
      </c>
    </row>
    <row r="86">
      <c r="A86" t="inlineStr">
        <is>
          <t>insight</t>
        </is>
      </c>
      <c r="B86" t="inlineStr">
        <is>
          <t>model</t>
        </is>
      </c>
      <c r="C86" t="inlineStr">
        <is>
          <t>Without the Equity raised row on Cash Flow (the owner's pick: A plan), Cash on Balance Sheet, with its typed R4 kept as typed, is lowest at its end, -10,547,629.37 in Dec 2028; it first goes below zero in Jun 2027.</t>
        </is>
      </c>
      <c r="D86" t="inlineStr">
        <is>
          <t>computed</t>
        </is>
      </c>
      <c r="E86" t="inlineStr">
        <is>
          <t>2026-09-29</t>
        </is>
      </c>
      <c r="F86" t="inlineStr">
        <is>
          <t>row:Balance Sheet!Cash | row:Cash Flow!Equity raised</t>
        </is>
      </c>
      <c r="G86" t="inlineStr">
        <is>
          <t>i:9596c65d</t>
        </is>
      </c>
      <c r="H86" t="inlineStr">
        <is>
          <t>structure</t>
        </is>
      </c>
      <c r="I86" t="inlineStr">
        <is>
          <t>current</t>
        </is>
      </c>
      <c r="J86" t="inlineStr">
        <is>
          <t>sb</t>
        </is>
      </c>
      <c r="K86" t="inlineStr">
        <is>
          <t>Balance Sheet!{Cash}</t>
        </is>
      </c>
      <c r="L86" t="inlineStr">
        <is>
          <t>49cd12a72a62</t>
        </is>
      </c>
      <c r="M86" t="inlineStr">
        <is>
          <t>data</t>
        </is>
      </c>
      <c r="N86" t="inlineStr">
        <is>
          <t>on-change</t>
        </is>
      </c>
      <c r="O86" t="inlineStr">
        <is>
          <t>recipe:model:without:Cash Flow:Equity raised:Balance Sheet:Cash</t>
        </is>
      </c>
    </row>
    <row r="87">
      <c r="A87" t="inlineStr">
        <is>
          <t>fact</t>
        </is>
      </c>
      <c r="B87" t="inlineStr">
        <is>
          <t>Watch out</t>
        </is>
      </c>
      <c r="C87" t="inlineStr">
        <is>
          <t>No units column was found, so the scale (dollars, thousands or millions) may live only in a title cell.</t>
        </is>
      </c>
      <c r="D87" t="inlineStr">
        <is>
          <t>inferred</t>
        </is>
      </c>
      <c r="E87" t="inlineStr">
        <is>
          <t>2026-09-29</t>
        </is>
      </c>
      <c r="F87" t="inlineStr">
        <is>
          <t>brain:c3d395bde364</t>
        </is>
      </c>
      <c r="G87" t="inlineStr">
        <is>
          <t>f:g:c86ac484</t>
        </is>
      </c>
      <c r="H87" t="inlineStr">
        <is>
          <t>gotcha</t>
        </is>
      </c>
      <c r="I87" t="inlineStr">
        <is>
          <t>unconfirmed</t>
        </is>
      </c>
      <c r="J87" t="inlineStr">
        <is>
          <t>playbook</t>
        </is>
      </c>
      <c r="M87" t="inlineStr">
        <is>
          <t>data</t>
        </is>
      </c>
      <c r="N87" t="inlineStr">
        <is>
          <t>on-change</t>
        </is>
      </c>
      <c r="O87" t="inlineStr">
        <is>
          <t>playbook:norm</t>
        </is>
      </c>
    </row>
    <row r="88">
      <c r="A88" t="inlineStr">
        <is>
          <t>node</t>
        </is>
      </c>
      <c r="B88" t="inlineStr">
        <is>
          <t>Inputs</t>
        </is>
      </c>
      <c r="C88" t="inlineStr">
        <is>
          <t>Inputs has 24 data rows, 2 tables, 1 formulas.</t>
        </is>
      </c>
      <c r="D88" t="inlineStr">
        <is>
          <t>computed</t>
        </is>
      </c>
      <c r="E88" t="inlineStr">
        <is>
          <t>2026-09-29</t>
        </is>
      </c>
      <c r="G88" t="inlineStr">
        <is>
          <t>sheet:Inputs</t>
        </is>
      </c>
      <c r="H88" t="inlineStr">
        <is>
          <t>sheet</t>
        </is>
      </c>
      <c r="I88" t="inlineStr">
        <is>
          <t>current</t>
        </is>
      </c>
      <c r="J88" t="inlineStr">
        <is>
          <t>sb</t>
        </is>
      </c>
      <c r="M88" t="inlineStr">
        <is>
          <t>data</t>
        </is>
      </c>
      <c r="Q88" t="inlineStr">
        <is>
          <t xml:space="preserve">rows: 24
tables: 2
formulas: 1
state: visible</t>
        </is>
      </c>
      <c r="R88" t="inlineStr">
        <is>
          <t/>
        </is>
      </c>
    </row>
    <row r="89">
      <c r="A89" t="inlineStr">
        <is>
          <t>node</t>
        </is>
      </c>
      <c r="B89" t="inlineStr">
        <is>
          <t>Revenue</t>
        </is>
      </c>
      <c r="C89" t="inlineStr">
        <is>
          <t>Revenue has 5 data rows, 148 formulas, calculated from other tabs.</t>
        </is>
      </c>
      <c r="D89" t="inlineStr">
        <is>
          <t>computed</t>
        </is>
      </c>
      <c r="E89" t="inlineStr">
        <is>
          <t>2026-09-29</t>
        </is>
      </c>
      <c r="G89" t="inlineStr">
        <is>
          <t>sheet:Revenue</t>
        </is>
      </c>
      <c r="H89" t="inlineStr">
        <is>
          <t>sheet</t>
        </is>
      </c>
      <c r="I89" t="inlineStr">
        <is>
          <t>current</t>
        </is>
      </c>
      <c r="J89" t="inlineStr">
        <is>
          <t>sb</t>
        </is>
      </c>
      <c r="M89" t="inlineStr">
        <is>
          <t>data</t>
        </is>
      </c>
      <c r="Q89" t="inlineStr">
        <is>
          <t xml:space="preserve">rows: 5
tables: 1
formulas: 148
state: visible</t>
        </is>
      </c>
      <c r="R89" t="inlineStr">
        <is>
          <t/>
        </is>
      </c>
    </row>
    <row r="90">
      <c r="A90" t="inlineStr">
        <is>
          <t>node</t>
        </is>
      </c>
      <c r="B90" t="inlineStr">
        <is>
          <t>P&amp;L</t>
        </is>
      </c>
      <c r="C90" t="inlineStr">
        <is>
          <t>P&amp;L has 11 data rows, 376 formulas, calculated from other tabs.</t>
        </is>
      </c>
      <c r="D90" t="inlineStr">
        <is>
          <t>computed</t>
        </is>
      </c>
      <c r="E90" t="inlineStr">
        <is>
          <t>2026-09-29</t>
        </is>
      </c>
      <c r="G90" t="inlineStr">
        <is>
          <t>sheet:P&amp;L</t>
        </is>
      </c>
      <c r="H90" t="inlineStr">
        <is>
          <t>sheet</t>
        </is>
      </c>
      <c r="I90" t="inlineStr">
        <is>
          <t>current</t>
        </is>
      </c>
      <c r="J90" t="inlineStr">
        <is>
          <t>sb</t>
        </is>
      </c>
      <c r="M90" t="inlineStr">
        <is>
          <t>data</t>
        </is>
      </c>
      <c r="Q90" t="inlineStr">
        <is>
          <t xml:space="preserve">rows: 11
tables: 1
formulas: 376
state: visible</t>
        </is>
      </c>
      <c r="R90" t="inlineStr">
        <is>
          <t/>
        </is>
      </c>
    </row>
    <row r="91">
      <c r="A91" t="inlineStr">
        <is>
          <t>node</t>
        </is>
      </c>
      <c r="B91" t="inlineStr">
        <is>
          <t>Cash Flow</t>
        </is>
      </c>
      <c r="C91" t="inlineStr">
        <is>
          <t>Cash Flow has 12 data rows, 396 formulas, calculated from other tabs.</t>
        </is>
      </c>
      <c r="D91" t="inlineStr">
        <is>
          <t>computed</t>
        </is>
      </c>
      <c r="E91" t="inlineStr">
        <is>
          <t>2026-09-29</t>
        </is>
      </c>
      <c r="G91" t="inlineStr">
        <is>
          <t>sheet:Cash Flow</t>
        </is>
      </c>
      <c r="H91" t="inlineStr">
        <is>
          <t>sheet</t>
        </is>
      </c>
      <c r="I91" t="inlineStr">
        <is>
          <t>current</t>
        </is>
      </c>
      <c r="J91" t="inlineStr">
        <is>
          <t>sb</t>
        </is>
      </c>
      <c r="M91" t="inlineStr">
        <is>
          <t>data</t>
        </is>
      </c>
      <c r="Q91" t="inlineStr">
        <is>
          <t xml:space="preserve">rows: 12
tables: 1
formulas: 396
state: visible</t>
        </is>
      </c>
      <c r="R91" t="inlineStr">
        <is>
          <t/>
        </is>
      </c>
    </row>
    <row r="92">
      <c r="A92" t="inlineStr">
        <is>
          <t>node</t>
        </is>
      </c>
      <c r="B92" t="inlineStr">
        <is>
          <t>Balance Sheet</t>
        </is>
      </c>
      <c r="C92" t="inlineStr">
        <is>
          <t>Balance Sheet has 7 data rows, 395 formulas, calculated from other tabs.</t>
        </is>
      </c>
      <c r="D92" t="inlineStr">
        <is>
          <t>computed</t>
        </is>
      </c>
      <c r="E92" t="inlineStr">
        <is>
          <t>2026-09-29</t>
        </is>
      </c>
      <c r="G92" t="inlineStr">
        <is>
          <t>sheet:Balance Sheet</t>
        </is>
      </c>
      <c r="H92" t="inlineStr">
        <is>
          <t>sheet</t>
        </is>
      </c>
      <c r="I92" t="inlineStr">
        <is>
          <t>current</t>
        </is>
      </c>
      <c r="J92" t="inlineStr">
        <is>
          <t>sb</t>
        </is>
      </c>
      <c r="M92" t="inlineStr">
        <is>
          <t>data</t>
        </is>
      </c>
      <c r="Q92" t="inlineStr">
        <is>
          <t xml:space="preserve">rows: 7
tables: 1
formulas: 395
state: visible</t>
        </is>
      </c>
      <c r="R92" t="inlineStr">
        <is>
          <t/>
        </is>
      </c>
    </row>
    <row r="93">
      <c r="A93" t="inlineStr">
        <is>
          <t>node</t>
        </is>
      </c>
      <c r="B93" t="inlineStr">
        <is>
          <t>Column A</t>
        </is>
      </c>
      <c r="C93" t="inlineStr">
        <is>
          <t>Column A on Inputs is an ID, 21 distinct values.</t>
        </is>
      </c>
      <c r="D93" t="inlineStr">
        <is>
          <t>computed</t>
        </is>
      </c>
      <c r="E93" t="inlineStr">
        <is>
          <t>2026-09-29</t>
        </is>
      </c>
      <c r="G93" t="inlineStr">
        <is>
          <t>col:Inputs#1.{Column A}</t>
        </is>
      </c>
      <c r="H93" t="inlineStr">
        <is>
          <t>column</t>
        </is>
      </c>
      <c r="I93" t="inlineStr">
        <is>
          <t>current</t>
        </is>
      </c>
      <c r="J93" t="inlineStr">
        <is>
          <t>sb</t>
        </is>
      </c>
      <c r="K93" t="inlineStr">
        <is>
          <t>Inputs!{Column A}</t>
        </is>
      </c>
      <c r="L93" t="inlineStr">
        <is>
          <t>81b96a0459d8</t>
        </is>
      </c>
      <c r="M93" t="inlineStr">
        <is>
          <t>data</t>
        </is>
      </c>
      <c r="N93" t="inlineStr">
        <is>
          <t>on-change</t>
        </is>
      </c>
      <c r="Q93" t="inlineStr">
        <is>
          <t xml:space="preserve">type: text
semantic: identifier
rows: 21
distinct: 21
blank_rate: 0.0</t>
        </is>
      </c>
      <c r="R93" t="inlineStr">
        <is>
          <t/>
        </is>
      </c>
    </row>
    <row r="94">
      <c r="A94" t="inlineStr">
        <is>
          <t>node</t>
        </is>
      </c>
      <c r="B94" t="inlineStr">
        <is>
          <t>Column B</t>
        </is>
      </c>
      <c r="C94" t="inlineStr">
        <is>
          <t>Column B on Inputs is a number, from -2,906,500 to 9,500,000.</t>
        </is>
      </c>
      <c r="D94" t="inlineStr">
        <is>
          <t>computed</t>
        </is>
      </c>
      <c r="E94" t="inlineStr">
        <is>
          <t>2026-09-29</t>
        </is>
      </c>
      <c r="G94" t="inlineStr">
        <is>
          <t>col:Inputs#1.{Column B}</t>
        </is>
      </c>
      <c r="H94" t="inlineStr">
        <is>
          <t>metric</t>
        </is>
      </c>
      <c r="I94" t="inlineStr">
        <is>
          <t>current</t>
        </is>
      </c>
      <c r="J94" t="inlineStr">
        <is>
          <t>sb</t>
        </is>
      </c>
      <c r="K94" t="inlineStr">
        <is>
          <t>Inputs!{Column B}</t>
        </is>
      </c>
      <c r="L94" t="inlineStr">
        <is>
          <t>1ed0732f8535</t>
        </is>
      </c>
      <c r="M94" t="inlineStr">
        <is>
          <t>data</t>
        </is>
      </c>
      <c r="N94" t="inlineStr">
        <is>
          <t>on-change</t>
        </is>
      </c>
      <c r="Q94" t="inlineStr">
        <is>
          <t xml:space="preserve">type: number
semantic: metric
rows: 21
distinct: 21
blank_rate: 0.0
min: -2906500
max: 9500000
sum: 13665801.985
negatives: 1</t>
        </is>
      </c>
      <c r="R94" t="inlineStr">
        <is>
          <t/>
        </is>
      </c>
    </row>
    <row r="95">
      <c r="A95" t="inlineStr">
        <is>
          <t>node</t>
        </is>
      </c>
      <c r="B95" t="inlineStr">
        <is>
          <t>Column C</t>
        </is>
      </c>
      <c r="C95" t="inlineStr">
        <is>
          <t>Column C on Inputs is a category, 8 distinct values, blank on 38% of rows.</t>
        </is>
      </c>
      <c r="D95" t="inlineStr">
        <is>
          <t>computed</t>
        </is>
      </c>
      <c r="E95" t="inlineStr">
        <is>
          <t>2026-09-29</t>
        </is>
      </c>
      <c r="G95" t="inlineStr">
        <is>
          <t>col:Inputs#1.{Column C}</t>
        </is>
      </c>
      <c r="H95" t="inlineStr">
        <is>
          <t>dimension</t>
        </is>
      </c>
      <c r="I95" t="inlineStr">
        <is>
          <t>current</t>
        </is>
      </c>
      <c r="J95" t="inlineStr">
        <is>
          <t>sb</t>
        </is>
      </c>
      <c r="K95" t="inlineStr">
        <is>
          <t>Inputs!{Column C}</t>
        </is>
      </c>
      <c r="L95" t="inlineStr">
        <is>
          <t>7c46f49ebc86</t>
        </is>
      </c>
      <c r="M95" t="inlineStr">
        <is>
          <t>data</t>
        </is>
      </c>
      <c r="N95" t="inlineStr">
        <is>
          <t>on-change</t>
        </is>
      </c>
      <c r="Q95" t="inlineStr">
        <is>
          <t xml:space="preserve">type: text
semantic: dimension
rows: 21
distinct: 8
blank_rate: 0.381
values: USD | loaded cost per head per month | USD, January 2026 | share of beginning MRR lost each month | USD per customer | net 30 terms | Dec 31, 2025 | balancing figure</t>
        </is>
      </c>
      <c r="R95" t="inlineStr">
        <is>
          <t/>
        </is>
      </c>
    </row>
    <row r="96">
      <c r="A96" t="inlineStr">
        <is>
          <t>node</t>
        </is>
      </c>
      <c r="B96" t="inlineStr">
        <is>
          <t>Headcount plan</t>
        </is>
      </c>
      <c r="C96" t="inlineStr">
        <is>
          <t>Headcount plan on Inputs is a category, 3 distinct values.</t>
        </is>
      </c>
      <c r="D96" t="inlineStr">
        <is>
          <t>computed</t>
        </is>
      </c>
      <c r="E96" t="inlineStr">
        <is>
          <t>2026-09-29</t>
        </is>
      </c>
      <c r="G96" t="inlineStr">
        <is>
          <t>col:Inputs#2.{Headcount plan}</t>
        </is>
      </c>
      <c r="H96" t="inlineStr">
        <is>
          <t>dimension</t>
        </is>
      </c>
      <c r="I96" t="inlineStr">
        <is>
          <t>current</t>
        </is>
      </c>
      <c r="J96" t="inlineStr">
        <is>
          <t>sb</t>
        </is>
      </c>
      <c r="K96" t="inlineStr">
        <is>
          <t>Inputs!{Headcount plan}</t>
        </is>
      </c>
      <c r="L96" t="inlineStr">
        <is>
          <t>4f7753760a0f</t>
        </is>
      </c>
      <c r="M96" t="inlineStr">
        <is>
          <t>data</t>
        </is>
      </c>
      <c r="N96" t="inlineStr">
        <is>
          <t>on-change</t>
        </is>
      </c>
      <c r="Q96" t="inlineStr">
        <is>
          <t xml:space="preserve">type: text
semantic: dimension
rows: 3
distinct: 3
blank_rate: 0.0
values: Engineering | Sales | G&amp;A</t>
        </is>
      </c>
      <c r="R96" t="inlineStr">
        <is>
          <t/>
        </is>
      </c>
    </row>
    <row r="97">
      <c r="A97" t="inlineStr">
        <is>
          <t>node</t>
        </is>
      </c>
      <c r="B97" t="inlineStr">
        <is>
          <t>Engineering</t>
        </is>
      </c>
      <c r="C97" t="inlineStr">
        <is>
          <t>Engineering is a line item on Inputs: 36 of its 36 months hold a number, from 18 to 34.</t>
        </is>
      </c>
      <c r="D97" t="inlineStr">
        <is>
          <t>computed</t>
        </is>
      </c>
      <c r="E97" t="inlineStr">
        <is>
          <t>2026-09-29</t>
        </is>
      </c>
      <c r="G97" t="inlineStr">
        <is>
          <t>line:Inputs.{Engineering}</t>
        </is>
      </c>
      <c r="H97" t="inlineStr">
        <is>
          <t>line_item</t>
        </is>
      </c>
      <c r="I97" t="inlineStr">
        <is>
          <t>current</t>
        </is>
      </c>
      <c r="J97" t="inlineStr">
        <is>
          <t>sb</t>
        </is>
      </c>
      <c r="M97" t="inlineStr">
        <is>
          <t>data</t>
        </is>
      </c>
      <c r="N97" t="inlineStr">
        <is>
          <t>on-change</t>
        </is>
      </c>
      <c r="Q97" t="inlineStr">
        <is>
          <t xml:space="preserve">periods: 36
filled: 36</t>
        </is>
      </c>
      <c r="R97" t="inlineStr">
        <is>
          <t/>
        </is>
      </c>
    </row>
    <row r="98">
      <c r="A98" t="inlineStr">
        <is>
          <t>node</t>
        </is>
      </c>
      <c r="B98" t="inlineStr">
        <is>
          <t>Sales</t>
        </is>
      </c>
      <c r="C98" t="inlineStr">
        <is>
          <t>Sales is a line item on Inputs: 36 of its 36 months hold a number, from 8 to 20.</t>
        </is>
      </c>
      <c r="D98" t="inlineStr">
        <is>
          <t>computed</t>
        </is>
      </c>
      <c r="E98" t="inlineStr">
        <is>
          <t>2026-09-29</t>
        </is>
      </c>
      <c r="G98" t="inlineStr">
        <is>
          <t>line:Inputs.{Sales}</t>
        </is>
      </c>
      <c r="H98" t="inlineStr">
        <is>
          <t>line_item</t>
        </is>
      </c>
      <c r="I98" t="inlineStr">
        <is>
          <t>current</t>
        </is>
      </c>
      <c r="J98" t="inlineStr">
        <is>
          <t>sb</t>
        </is>
      </c>
      <c r="M98" t="inlineStr">
        <is>
          <t>data</t>
        </is>
      </c>
      <c r="N98" t="inlineStr">
        <is>
          <t>on-change</t>
        </is>
      </c>
      <c r="Q98" t="inlineStr">
        <is>
          <t xml:space="preserve">periods: 36
filled: 36</t>
        </is>
      </c>
      <c r="R98" t="inlineStr">
        <is>
          <t/>
        </is>
      </c>
    </row>
    <row r="99">
      <c r="A99" t="inlineStr">
        <is>
          <t>node</t>
        </is>
      </c>
      <c r="B99" t="inlineStr">
        <is>
          <t>G&amp;A</t>
        </is>
      </c>
      <c r="C99" t="inlineStr">
        <is>
          <t>G&amp;A is a line item on Inputs: 36 of its 36 months hold a number, from 5 to 9.</t>
        </is>
      </c>
      <c r="D99" t="inlineStr">
        <is>
          <t>computed</t>
        </is>
      </c>
      <c r="E99" t="inlineStr">
        <is>
          <t>2026-09-29</t>
        </is>
      </c>
      <c r="G99" t="inlineStr">
        <is>
          <t>line:Inputs.{G&amp;A}</t>
        </is>
      </c>
      <c r="H99" t="inlineStr">
        <is>
          <t>line_item</t>
        </is>
      </c>
      <c r="I99" t="inlineStr">
        <is>
          <t>current</t>
        </is>
      </c>
      <c r="J99" t="inlineStr">
        <is>
          <t>sb</t>
        </is>
      </c>
      <c r="M99" t="inlineStr">
        <is>
          <t>data</t>
        </is>
      </c>
      <c r="N99" t="inlineStr">
        <is>
          <t>on-change</t>
        </is>
      </c>
      <c r="Q99" t="inlineStr">
        <is>
          <t xml:space="preserve">periods: 36
filled: 36</t>
        </is>
      </c>
      <c r="R99" t="inlineStr">
        <is>
          <t/>
        </is>
      </c>
    </row>
    <row r="100">
      <c r="A100" t="inlineStr">
        <is>
          <t>node</t>
        </is>
      </c>
      <c r="B100" t="inlineStr">
        <is>
          <t>Month</t>
        </is>
      </c>
      <c r="C100" t="inlineStr">
        <is>
          <t>Month on Revenue is a category, 5 distinct values.</t>
        </is>
      </c>
      <c r="D100" t="inlineStr">
        <is>
          <t>computed</t>
        </is>
      </c>
      <c r="E100" t="inlineStr">
        <is>
          <t>2026-09-29</t>
        </is>
      </c>
      <c r="G100" t="inlineStr">
        <is>
          <t>col:Revenue.{Month}</t>
        </is>
      </c>
      <c r="H100" t="inlineStr">
        <is>
          <t>dimension</t>
        </is>
      </c>
      <c r="I100" t="inlineStr">
        <is>
          <t>current</t>
        </is>
      </c>
      <c r="J100" t="inlineStr">
        <is>
          <t>sb</t>
        </is>
      </c>
      <c r="K100" t="inlineStr">
        <is>
          <t>Revenue!{Month}</t>
        </is>
      </c>
      <c r="L100" t="inlineStr">
        <is>
          <t>874a13776db1</t>
        </is>
      </c>
      <c r="M100" t="inlineStr">
        <is>
          <t>data</t>
        </is>
      </c>
      <c r="N100" t="inlineStr">
        <is>
          <t>on-change</t>
        </is>
      </c>
      <c r="Q100" t="inlineStr">
        <is>
          <t xml:space="preserve">type: text
semantic: dimension
rows: 5
distinct: 5
blank_rate: 0.0
values: Beginning MRR | New MRR | Churned MRR | Ending MRR | New customers</t>
        </is>
      </c>
      <c r="R100" t="inlineStr">
        <is>
          <t/>
        </is>
      </c>
    </row>
    <row r="101">
      <c r="A101" t="inlineStr">
        <is>
          <t>node</t>
        </is>
      </c>
      <c r="B101" t="inlineStr">
        <is>
          <t>Beginning MRR</t>
        </is>
      </c>
      <c r="C101" t="inlineStr">
        <is>
          <t>Beginning MRR is a line item on Revenue: 36 of its 36 months hold a number, from 185,000 to 431,123.21.</t>
        </is>
      </c>
      <c r="D101" t="inlineStr">
        <is>
          <t>computed</t>
        </is>
      </c>
      <c r="E101" t="inlineStr">
        <is>
          <t>2026-09-29</t>
        </is>
      </c>
      <c r="G101" t="inlineStr">
        <is>
          <t>line:Revenue.{Beginning MRR}</t>
        </is>
      </c>
      <c r="H101" t="inlineStr">
        <is>
          <t>line_item</t>
        </is>
      </c>
      <c r="I101" t="inlineStr">
        <is>
          <t>current</t>
        </is>
      </c>
      <c r="J101" t="inlineStr">
        <is>
          <t>sb</t>
        </is>
      </c>
      <c r="M101" t="inlineStr">
        <is>
          <t>data</t>
        </is>
      </c>
      <c r="N101" t="inlineStr">
        <is>
          <t>on-change</t>
        </is>
      </c>
      <c r="Q101" t="inlineStr">
        <is>
          <t xml:space="preserve">periods: 36
filled: 36</t>
        </is>
      </c>
      <c r="R101" t="inlineStr">
        <is>
          <t/>
        </is>
      </c>
    </row>
    <row r="102">
      <c r="A102" t="inlineStr">
        <is>
          <t>node</t>
        </is>
      </c>
      <c r="B102" t="inlineStr">
        <is>
          <t>New MRR</t>
        </is>
      </c>
      <c r="C102" t="inlineStr">
        <is>
          <t>New MRR is a line item on Revenue: 36 of its 36 months hold a number, from 4,808.46 to 17,244.93.</t>
        </is>
      </c>
      <c r="D102" t="inlineStr">
        <is>
          <t>computed</t>
        </is>
      </c>
      <c r="E102" t="inlineStr">
        <is>
          <t>2026-09-29</t>
        </is>
      </c>
      <c r="G102" t="inlineStr">
        <is>
          <t>line:Revenue.{New MRR}</t>
        </is>
      </c>
      <c r="H102" t="inlineStr">
        <is>
          <t>line_item</t>
        </is>
      </c>
      <c r="I102" t="inlineStr">
        <is>
          <t>current</t>
        </is>
      </c>
      <c r="J102" t="inlineStr">
        <is>
          <t>sb</t>
        </is>
      </c>
      <c r="M102" t="inlineStr">
        <is>
          <t>data</t>
        </is>
      </c>
      <c r="N102" t="inlineStr">
        <is>
          <t>on-change</t>
        </is>
      </c>
      <c r="Q102" t="inlineStr">
        <is>
          <t xml:space="preserve">periods: 36
filled: 36</t>
        </is>
      </c>
      <c r="R102" t="inlineStr">
        <is>
          <t/>
        </is>
      </c>
    </row>
    <row r="103">
      <c r="A103" t="inlineStr">
        <is>
          <t>node</t>
        </is>
      </c>
      <c r="B103" t="inlineStr">
        <is>
          <t>Churned MRR</t>
        </is>
      </c>
      <c r="C103" t="inlineStr">
        <is>
          <t>Churned MRR is a line item on Revenue: 36 of its 36 months hold a number, from 2,264 to 6,466.85.</t>
        </is>
      </c>
      <c r="D103" t="inlineStr">
        <is>
          <t>computed</t>
        </is>
      </c>
      <c r="E103" t="inlineStr">
        <is>
          <t>2026-09-29</t>
        </is>
      </c>
      <c r="G103" t="inlineStr">
        <is>
          <t>line:Revenue.{Churned MRR}</t>
        </is>
      </c>
      <c r="H103" t="inlineStr">
        <is>
          <t>line_item</t>
        </is>
      </c>
      <c r="I103" t="inlineStr">
        <is>
          <t>current</t>
        </is>
      </c>
      <c r="J103" t="inlineStr">
        <is>
          <t>sb</t>
        </is>
      </c>
      <c r="M103" t="inlineStr">
        <is>
          <t>data</t>
        </is>
      </c>
      <c r="N103" t="inlineStr">
        <is>
          <t>on-change</t>
        </is>
      </c>
      <c r="Q103" t="inlineStr">
        <is>
          <t xml:space="preserve">periods: 36
filled: 36</t>
        </is>
      </c>
      <c r="R103" t="inlineStr">
        <is>
          <t/>
        </is>
      </c>
    </row>
    <row r="104">
      <c r="A104" t="inlineStr">
        <is>
          <t>node</t>
        </is>
      </c>
      <c r="B104" t="inlineStr">
        <is>
          <t>Ending MRR</t>
        </is>
      </c>
      <c r="C104" t="inlineStr">
        <is>
          <t>Ending MRR is a line item on Revenue: 36 of its 36 months hold a number, from 188,399 to 441,901.29.</t>
        </is>
      </c>
      <c r="D104" t="inlineStr">
        <is>
          <t>computed</t>
        </is>
      </c>
      <c r="E104" t="inlineStr">
        <is>
          <t>2026-09-29</t>
        </is>
      </c>
      <c r="G104" t="inlineStr">
        <is>
          <t>line:Revenue.{Ending MRR}</t>
        </is>
      </c>
      <c r="H104" t="inlineStr">
        <is>
          <t>line_item</t>
        </is>
      </c>
      <c r="I104" t="inlineStr">
        <is>
          <t>current</t>
        </is>
      </c>
      <c r="J104" t="inlineStr">
        <is>
          <t>sb</t>
        </is>
      </c>
      <c r="M104" t="inlineStr">
        <is>
          <t>data</t>
        </is>
      </c>
      <c r="N104" t="inlineStr">
        <is>
          <t>on-change</t>
        </is>
      </c>
      <c r="Q104" t="inlineStr">
        <is>
          <t xml:space="preserve">periods: 36
filled: 36</t>
        </is>
      </c>
      <c r="R104" t="inlineStr">
        <is>
          <t/>
        </is>
      </c>
    </row>
    <row r="105">
      <c r="A105" t="inlineStr">
        <is>
          <t>node</t>
        </is>
      </c>
      <c r="B105" t="inlineStr">
        <is>
          <t>New customers</t>
        </is>
      </c>
      <c r="C105" t="inlineStr">
        <is>
          <t>New customers is a line item on Revenue: 36 of its 36 months hold a number, from 7.40 to 26.53.</t>
        </is>
      </c>
      <c r="D105" t="inlineStr">
        <is>
          <t>computed</t>
        </is>
      </c>
      <c r="E105" t="inlineStr">
        <is>
          <t>2026-09-29</t>
        </is>
      </c>
      <c r="G105" t="inlineStr">
        <is>
          <t>line:Revenue.{New customers}</t>
        </is>
      </c>
      <c r="H105" t="inlineStr">
        <is>
          <t>line_item</t>
        </is>
      </c>
      <c r="I105" t="inlineStr">
        <is>
          <t>current</t>
        </is>
      </c>
      <c r="J105" t="inlineStr">
        <is>
          <t>sb</t>
        </is>
      </c>
      <c r="M105" t="inlineStr">
        <is>
          <t>data</t>
        </is>
      </c>
      <c r="N105" t="inlineStr">
        <is>
          <t>on-change</t>
        </is>
      </c>
      <c r="Q105" t="inlineStr">
        <is>
          <t xml:space="preserve">periods: 36
filled: 36</t>
        </is>
      </c>
      <c r="R105" t="inlineStr">
        <is>
          <t/>
        </is>
      </c>
    </row>
    <row r="106">
      <c r="A106" t="inlineStr">
        <is>
          <t>node</t>
        </is>
      </c>
      <c r="B106" t="inlineStr">
        <is>
          <t>Month</t>
        </is>
      </c>
      <c r="C106" t="inlineStr">
        <is>
          <t>Month on P&amp;L is a category, 11 distinct values.</t>
        </is>
      </c>
      <c r="D106" t="inlineStr">
        <is>
          <t>computed</t>
        </is>
      </c>
      <c r="E106" t="inlineStr">
        <is>
          <t>2026-09-29</t>
        </is>
      </c>
      <c r="G106" t="inlineStr">
        <is>
          <t>col:P&amp;L.{Month}</t>
        </is>
      </c>
      <c r="H106" t="inlineStr">
        <is>
          <t>dimension</t>
        </is>
      </c>
      <c r="I106" t="inlineStr">
        <is>
          <t>current</t>
        </is>
      </c>
      <c r="J106" t="inlineStr">
        <is>
          <t>sb</t>
        </is>
      </c>
      <c r="K106" t="inlineStr">
        <is>
          <t>P&amp;L!{Month}</t>
        </is>
      </c>
      <c r="L106" t="inlineStr">
        <is>
          <t>b48c4517c11d</t>
        </is>
      </c>
      <c r="M106" t="inlineStr">
        <is>
          <t>data</t>
        </is>
      </c>
      <c r="N106" t="inlineStr">
        <is>
          <t>on-change</t>
        </is>
      </c>
      <c r="Q106" t="inlineStr">
        <is>
          <t xml:space="preserve">type: text
semantic: dimension
rows: 11
distinct: 11
blank_rate: 0.0
values: Revenue | COGS | Gross Profit | Sales &amp; Marketing | R&amp;D | G&amp;A | EBITDA | D&amp;A | EBIT | Taxes</t>
        </is>
      </c>
      <c r="R106" t="inlineStr">
        <is>
          <t/>
        </is>
      </c>
    </row>
    <row r="107">
      <c r="A107" t="inlineStr">
        <is>
          <t>node</t>
        </is>
      </c>
      <c r="B107" t="inlineStr">
        <is>
          <t>Revenue</t>
        </is>
      </c>
      <c r="C107" t="inlineStr">
        <is>
          <t>Revenue is a line item on P&amp;L: 36 of its 36 months hold a number, from 191,756 to 441,901.29.</t>
        </is>
      </c>
      <c r="D107" t="inlineStr">
        <is>
          <t>computed</t>
        </is>
      </c>
      <c r="E107" t="inlineStr">
        <is>
          <t>2026-09-29</t>
        </is>
      </c>
      <c r="G107" t="inlineStr">
        <is>
          <t>line:P&amp;L.{Revenue}</t>
        </is>
      </c>
      <c r="H107" t="inlineStr">
        <is>
          <t>line_item</t>
        </is>
      </c>
      <c r="I107" t="inlineStr">
        <is>
          <t>current</t>
        </is>
      </c>
      <c r="J107" t="inlineStr">
        <is>
          <t>sb</t>
        </is>
      </c>
      <c r="M107" t="inlineStr">
        <is>
          <t>data</t>
        </is>
      </c>
      <c r="N107" t="inlineStr">
        <is>
          <t>on-change</t>
        </is>
      </c>
      <c r="Q107" t="inlineStr">
        <is>
          <t xml:space="preserve">periods: 36
filled: 36</t>
        </is>
      </c>
      <c r="R107" t="inlineStr">
        <is>
          <t/>
        </is>
      </c>
    </row>
    <row r="108">
      <c r="A108" t="inlineStr">
        <is>
          <t>node</t>
        </is>
      </c>
      <c r="B108" t="inlineStr">
        <is>
          <t>COGS</t>
        </is>
      </c>
      <c r="C108" t="inlineStr">
        <is>
          <t>COGS is a line item on P&amp;L: 36 of its 36 months hold a number, from 45,184 to 97,218.28.</t>
        </is>
      </c>
      <c r="D108" t="inlineStr">
        <is>
          <t>computed</t>
        </is>
      </c>
      <c r="E108" t="inlineStr">
        <is>
          <t>2026-09-29</t>
        </is>
      </c>
      <c r="G108" t="inlineStr">
        <is>
          <t>line:P&amp;L.{COGS}</t>
        </is>
      </c>
      <c r="H108" t="inlineStr">
        <is>
          <t>line_item</t>
        </is>
      </c>
      <c r="I108" t="inlineStr">
        <is>
          <t>current</t>
        </is>
      </c>
      <c r="J108" t="inlineStr">
        <is>
          <t>sb</t>
        </is>
      </c>
      <c r="M108" t="inlineStr">
        <is>
          <t>data</t>
        </is>
      </c>
      <c r="N108" t="inlineStr">
        <is>
          <t>on-change</t>
        </is>
      </c>
      <c r="Q108" t="inlineStr">
        <is>
          <t xml:space="preserve">periods: 36
filled: 36</t>
        </is>
      </c>
      <c r="R108" t="inlineStr">
        <is>
          <t/>
        </is>
      </c>
    </row>
    <row r="109">
      <c r="A109" t="inlineStr">
        <is>
          <t>node</t>
        </is>
      </c>
      <c r="B109" t="inlineStr">
        <is>
          <t>Gross Profit</t>
        </is>
      </c>
      <c r="C109" t="inlineStr">
        <is>
          <t>Gross Profit is a line item on P&amp;L: 36 of its 36 months hold a number, from 146,572 to 344,683.</t>
        </is>
      </c>
      <c r="D109" t="inlineStr">
        <is>
          <t>computed</t>
        </is>
      </c>
      <c r="E109" t="inlineStr">
        <is>
          <t>2026-09-29</t>
        </is>
      </c>
      <c r="G109" t="inlineStr">
        <is>
          <t>line:P&amp;L.{Gross Profit}</t>
        </is>
      </c>
      <c r="H109" t="inlineStr">
        <is>
          <t>line_item</t>
        </is>
      </c>
      <c r="I109" t="inlineStr">
        <is>
          <t>current</t>
        </is>
      </c>
      <c r="J109" t="inlineStr">
        <is>
          <t>sb</t>
        </is>
      </c>
      <c r="M109" t="inlineStr">
        <is>
          <t>data</t>
        </is>
      </c>
      <c r="N109" t="inlineStr">
        <is>
          <t>on-change</t>
        </is>
      </c>
      <c r="Q109" t="inlineStr">
        <is>
          <t xml:space="preserve">periods: 36
filled: 36</t>
        </is>
      </c>
      <c r="R109" t="inlineStr">
        <is>
          <t/>
        </is>
      </c>
    </row>
    <row r="110">
      <c r="A110" t="inlineStr">
        <is>
          <t>node</t>
        </is>
      </c>
      <c r="B110" t="inlineStr">
        <is>
          <t>Sales &amp; Marketing</t>
        </is>
      </c>
      <c r="C110" t="inlineStr">
        <is>
          <t>Sales &amp; Marketing is a line item on P&amp;L: 36 of its 36 months hold a number, from 132,352 to 337,959.43.</t>
        </is>
      </c>
      <c r="D110" t="inlineStr">
        <is>
          <t>computed</t>
        </is>
      </c>
      <c r="E110" t="inlineStr">
        <is>
          <t>2026-09-29</t>
        </is>
      </c>
      <c r="G110" t="inlineStr">
        <is>
          <t>line:P&amp;L.{Sales &amp; Marketing}</t>
        </is>
      </c>
      <c r="H110" t="inlineStr">
        <is>
          <t>line_item</t>
        </is>
      </c>
      <c r="I110" t="inlineStr">
        <is>
          <t>current</t>
        </is>
      </c>
      <c r="J110" t="inlineStr">
        <is>
          <t>sb</t>
        </is>
      </c>
      <c r="M110" t="inlineStr">
        <is>
          <t>data</t>
        </is>
      </c>
      <c r="N110" t="inlineStr">
        <is>
          <t>on-change</t>
        </is>
      </c>
      <c r="Q110" t="inlineStr">
        <is>
          <t xml:space="preserve">periods: 36
filled: 36</t>
        </is>
      </c>
      <c r="R110" t="inlineStr">
        <is>
          <t/>
        </is>
      </c>
    </row>
    <row r="111">
      <c r="A111" t="inlineStr">
        <is>
          <t>node</t>
        </is>
      </c>
      <c r="B111" t="inlineStr">
        <is>
          <t>R&amp;D</t>
        </is>
      </c>
      <c r="C111" t="inlineStr">
        <is>
          <t>R&amp;D is a line item on P&amp;L: 36 of its 36 months hold a number, from 243,207 to 467,500.</t>
        </is>
      </c>
      <c r="D111" t="inlineStr">
        <is>
          <t>computed</t>
        </is>
      </c>
      <c r="E111" t="inlineStr">
        <is>
          <t>2026-09-29</t>
        </is>
      </c>
      <c r="G111" t="inlineStr">
        <is>
          <t>line:P&amp;L.{R&amp;D}</t>
        </is>
      </c>
      <c r="H111" t="inlineStr">
        <is>
          <t>line_item</t>
        </is>
      </c>
      <c r="I111" t="inlineStr">
        <is>
          <t>current</t>
        </is>
      </c>
      <c r="J111" t="inlineStr">
        <is>
          <t>sb</t>
        </is>
      </c>
      <c r="M111" t="inlineStr">
        <is>
          <t>data</t>
        </is>
      </c>
      <c r="N111" t="inlineStr">
        <is>
          <t>on-change</t>
        </is>
      </c>
      <c r="Q111" t="inlineStr">
        <is>
          <t xml:space="preserve">periods: 36
filled: 36</t>
        </is>
      </c>
      <c r="R111" t="inlineStr">
        <is>
          <t/>
        </is>
      </c>
    </row>
    <row r="112">
      <c r="A112" t="inlineStr">
        <is>
          <t>node</t>
        </is>
      </c>
      <c r="B112" t="inlineStr">
        <is>
          <t>G&amp;A</t>
        </is>
      </c>
      <c r="C112" t="inlineStr">
        <is>
          <t>G&amp;A is a line item on P&amp;L: 36 of its 36 months hold a number, from 73,600 to 120,800.</t>
        </is>
      </c>
      <c r="D112" t="inlineStr">
        <is>
          <t>computed</t>
        </is>
      </c>
      <c r="E112" t="inlineStr">
        <is>
          <t>2026-09-29</t>
        </is>
      </c>
      <c r="G112" t="inlineStr">
        <is>
          <t>line:P&amp;L.{G&amp;A}</t>
        </is>
      </c>
      <c r="H112" t="inlineStr">
        <is>
          <t>line_item</t>
        </is>
      </c>
      <c r="I112" t="inlineStr">
        <is>
          <t>current</t>
        </is>
      </c>
      <c r="J112" t="inlineStr">
        <is>
          <t>sb</t>
        </is>
      </c>
      <c r="M112" t="inlineStr">
        <is>
          <t>data</t>
        </is>
      </c>
      <c r="N112" t="inlineStr">
        <is>
          <t>on-change</t>
        </is>
      </c>
      <c r="Q112" t="inlineStr">
        <is>
          <t xml:space="preserve">periods: 36
filled: 36</t>
        </is>
      </c>
      <c r="R112" t="inlineStr">
        <is>
          <t/>
        </is>
      </c>
    </row>
    <row r="113">
      <c r="A113" t="inlineStr">
        <is>
          <t>node</t>
        </is>
      </c>
      <c r="B113" t="inlineStr">
        <is>
          <t>EBITDA</t>
        </is>
      </c>
      <c r="C113" t="inlineStr">
        <is>
          <t>EBITDA is a line item on P&amp;L: 36 of its 36 months hold a number, from -586,618.46 to -309,374.</t>
        </is>
      </c>
      <c r="D113" t="inlineStr">
        <is>
          <t>computed</t>
        </is>
      </c>
      <c r="E113" t="inlineStr">
        <is>
          <t>2026-09-29</t>
        </is>
      </c>
      <c r="G113" t="inlineStr">
        <is>
          <t>line:P&amp;L.{EBITDA}</t>
        </is>
      </c>
      <c r="H113" t="inlineStr">
        <is>
          <t>line_item</t>
        </is>
      </c>
      <c r="I113" t="inlineStr">
        <is>
          <t>current</t>
        </is>
      </c>
      <c r="J113" t="inlineStr">
        <is>
          <t>sb</t>
        </is>
      </c>
      <c r="M113" t="inlineStr">
        <is>
          <t>data</t>
        </is>
      </c>
      <c r="N113" t="inlineStr">
        <is>
          <t>on-change</t>
        </is>
      </c>
      <c r="Q113" t="inlineStr">
        <is>
          <t xml:space="preserve">periods: 36
filled: 36</t>
        </is>
      </c>
      <c r="R113" t="inlineStr">
        <is>
          <t/>
        </is>
      </c>
    </row>
    <row r="114">
      <c r="A114" t="inlineStr">
        <is>
          <t>node</t>
        </is>
      </c>
      <c r="B114" t="inlineStr">
        <is>
          <t>D&amp;A</t>
        </is>
      </c>
      <c r="C114" t="inlineStr">
        <is>
          <t>D&amp;A is a line item on P&amp;L: 36 of its 36 months hold a number, from 9,000 to 9,000.</t>
        </is>
      </c>
      <c r="D114" t="inlineStr">
        <is>
          <t>computed</t>
        </is>
      </c>
      <c r="E114" t="inlineStr">
        <is>
          <t>2026-09-29</t>
        </is>
      </c>
      <c r="G114" t="inlineStr">
        <is>
          <t>line:P&amp;L.{D&amp;A}</t>
        </is>
      </c>
      <c r="H114" t="inlineStr">
        <is>
          <t>line_item</t>
        </is>
      </c>
      <c r="I114" t="inlineStr">
        <is>
          <t>current</t>
        </is>
      </c>
      <c r="J114" t="inlineStr">
        <is>
          <t>sb</t>
        </is>
      </c>
      <c r="M114" t="inlineStr">
        <is>
          <t>data</t>
        </is>
      </c>
      <c r="N114" t="inlineStr">
        <is>
          <t>on-change</t>
        </is>
      </c>
      <c r="Q114" t="inlineStr">
        <is>
          <t xml:space="preserve">periods: 36
filled: 36</t>
        </is>
      </c>
      <c r="R114" t="inlineStr">
        <is>
          <t/>
        </is>
      </c>
    </row>
    <row r="115">
      <c r="A115" t="inlineStr">
        <is>
          <t>node</t>
        </is>
      </c>
      <c r="B115" t="inlineStr">
        <is>
          <t>EBIT</t>
        </is>
      </c>
      <c r="C115" t="inlineStr">
        <is>
          <t>EBIT is a line item on P&amp;L: 36 of its 36 months hold a number, from -595,618.46 to -318,374.</t>
        </is>
      </c>
      <c r="D115" t="inlineStr">
        <is>
          <t>computed</t>
        </is>
      </c>
      <c r="E115" t="inlineStr">
        <is>
          <t>2026-09-29</t>
        </is>
      </c>
      <c r="G115" t="inlineStr">
        <is>
          <t>line:P&amp;L.{EBIT}</t>
        </is>
      </c>
      <c r="H115" t="inlineStr">
        <is>
          <t>line_item</t>
        </is>
      </c>
      <c r="I115" t="inlineStr">
        <is>
          <t>current</t>
        </is>
      </c>
      <c r="J115" t="inlineStr">
        <is>
          <t>sb</t>
        </is>
      </c>
      <c r="M115" t="inlineStr">
        <is>
          <t>data</t>
        </is>
      </c>
      <c r="N115" t="inlineStr">
        <is>
          <t>on-change</t>
        </is>
      </c>
      <c r="Q115" t="inlineStr">
        <is>
          <t xml:space="preserve">periods: 36
filled: 36</t>
        </is>
      </c>
      <c r="R115" t="inlineStr">
        <is>
          <t/>
        </is>
      </c>
    </row>
    <row r="116">
      <c r="A116" t="inlineStr">
        <is>
          <t>node</t>
        </is>
      </c>
      <c r="B116" t="inlineStr">
        <is>
          <t>Taxes</t>
        </is>
      </c>
      <c r="C116" t="inlineStr">
        <is>
          <t>Taxes is a line item on P&amp;L: 36 of its 36 months hold a number, from 0 to 0.</t>
        </is>
      </c>
      <c r="D116" t="inlineStr">
        <is>
          <t>computed</t>
        </is>
      </c>
      <c r="E116" t="inlineStr">
        <is>
          <t>2026-09-29</t>
        </is>
      </c>
      <c r="G116" t="inlineStr">
        <is>
          <t>line:P&amp;L.{Taxes}</t>
        </is>
      </c>
      <c r="H116" t="inlineStr">
        <is>
          <t>line_item</t>
        </is>
      </c>
      <c r="I116" t="inlineStr">
        <is>
          <t>current</t>
        </is>
      </c>
      <c r="J116" t="inlineStr">
        <is>
          <t>sb</t>
        </is>
      </c>
      <c r="M116" t="inlineStr">
        <is>
          <t>data</t>
        </is>
      </c>
      <c r="N116" t="inlineStr">
        <is>
          <t>on-change</t>
        </is>
      </c>
      <c r="Q116" t="inlineStr">
        <is>
          <t xml:space="preserve">periods: 36
filled: 36</t>
        </is>
      </c>
      <c r="R116" t="inlineStr">
        <is>
          <t/>
        </is>
      </c>
    </row>
    <row r="117">
      <c r="A117" t="inlineStr">
        <is>
          <t>node</t>
        </is>
      </c>
      <c r="B117" t="inlineStr">
        <is>
          <t>Net Income</t>
        </is>
      </c>
      <c r="C117" t="inlineStr">
        <is>
          <t>Net Income is a line item on P&amp;L: 36 of its 36 months hold a number, from -595,618.46 to -318,374.</t>
        </is>
      </c>
      <c r="D117" t="inlineStr">
        <is>
          <t>computed</t>
        </is>
      </c>
      <c r="E117" t="inlineStr">
        <is>
          <t>2026-09-29</t>
        </is>
      </c>
      <c r="G117" t="inlineStr">
        <is>
          <t>line:P&amp;L.{Net Income}</t>
        </is>
      </c>
      <c r="H117" t="inlineStr">
        <is>
          <t>line_item</t>
        </is>
      </c>
      <c r="I117" t="inlineStr">
        <is>
          <t>current</t>
        </is>
      </c>
      <c r="J117" t="inlineStr">
        <is>
          <t>sb</t>
        </is>
      </c>
      <c r="M117" t="inlineStr">
        <is>
          <t>data</t>
        </is>
      </c>
      <c r="N117" t="inlineStr">
        <is>
          <t>on-change</t>
        </is>
      </c>
      <c r="Q117" t="inlineStr">
        <is>
          <t xml:space="preserve">periods: 36
filled: 36</t>
        </is>
      </c>
      <c r="R117" t="inlineStr">
        <is>
          <t/>
        </is>
      </c>
    </row>
    <row r="118">
      <c r="A118" t="inlineStr">
        <is>
          <t>node</t>
        </is>
      </c>
      <c r="B118" t="inlineStr">
        <is>
          <t>Month</t>
        </is>
      </c>
      <c r="C118" t="inlineStr">
        <is>
          <t>Month on Cash Flow is a category, 12 distinct values.</t>
        </is>
      </c>
      <c r="D118" t="inlineStr">
        <is>
          <t>computed</t>
        </is>
      </c>
      <c r="E118" t="inlineStr">
        <is>
          <t>2026-09-29</t>
        </is>
      </c>
      <c r="G118" t="inlineStr">
        <is>
          <t>col:Cash Flow.{Month}</t>
        </is>
      </c>
      <c r="H118" t="inlineStr">
        <is>
          <t>dimension</t>
        </is>
      </c>
      <c r="I118" t="inlineStr">
        <is>
          <t>current</t>
        </is>
      </c>
      <c r="J118" t="inlineStr">
        <is>
          <t>sb</t>
        </is>
      </c>
      <c r="K118" t="inlineStr">
        <is>
          <t>Cash Flow!{Month}</t>
        </is>
      </c>
      <c r="L118" t="inlineStr">
        <is>
          <t>c95cd1e1f45b</t>
        </is>
      </c>
      <c r="M118" t="inlineStr">
        <is>
          <t>data</t>
        </is>
      </c>
      <c r="N118" t="inlineStr">
        <is>
          <t>on-change</t>
        </is>
      </c>
      <c r="Q118" t="inlineStr">
        <is>
          <t xml:space="preserve">type: text
semantic: dimension
rows: 12
distinct: 12
blank_rate: 0.0
values: Net Income | D&amp;A | Change in AR | Change in AP | Cash from Operations | Capex | Cash from Investing | Equity raised | Cash from Financing | Net Change in Cash</t>
        </is>
      </c>
      <c r="R118" t="inlineStr">
        <is>
          <t/>
        </is>
      </c>
    </row>
    <row r="119">
      <c r="A119" t="inlineStr">
        <is>
          <t>node</t>
        </is>
      </c>
      <c r="B119" t="inlineStr">
        <is>
          <t>Net Income</t>
        </is>
      </c>
      <c r="C119" t="inlineStr">
        <is>
          <t>Net Income is a line item on Cash Flow: 36 of its 36 months hold a number, from -595,618.46 to -318,374.</t>
        </is>
      </c>
      <c r="D119" t="inlineStr">
        <is>
          <t>computed</t>
        </is>
      </c>
      <c r="E119" t="inlineStr">
        <is>
          <t>2026-09-29</t>
        </is>
      </c>
      <c r="G119" t="inlineStr">
        <is>
          <t>line:Cash Flow.{Net Income}</t>
        </is>
      </c>
      <c r="H119" t="inlineStr">
        <is>
          <t>line_item</t>
        </is>
      </c>
      <c r="I119" t="inlineStr">
        <is>
          <t>current</t>
        </is>
      </c>
      <c r="J119" t="inlineStr">
        <is>
          <t>sb</t>
        </is>
      </c>
      <c r="M119" t="inlineStr">
        <is>
          <t>data</t>
        </is>
      </c>
      <c r="N119" t="inlineStr">
        <is>
          <t>on-change</t>
        </is>
      </c>
      <c r="Q119" t="inlineStr">
        <is>
          <t xml:space="preserve">periods: 36
filled: 36</t>
        </is>
      </c>
      <c r="R119" t="inlineStr">
        <is>
          <t/>
        </is>
      </c>
    </row>
    <row r="120">
      <c r="A120" t="inlineStr">
        <is>
          <t>node</t>
        </is>
      </c>
      <c r="B120" t="inlineStr">
        <is>
          <t>D&amp;A</t>
        </is>
      </c>
      <c r="C120" t="inlineStr">
        <is>
          <t>D&amp;A is a line item on Cash Flow: 36 of its 36 months hold a number, from 9,000 to 9,000.</t>
        </is>
      </c>
      <c r="D120" t="inlineStr">
        <is>
          <t>computed</t>
        </is>
      </c>
      <c r="E120" t="inlineStr">
        <is>
          <t>2026-09-29</t>
        </is>
      </c>
      <c r="G120" t="inlineStr">
        <is>
          <t>line:Cash Flow.{D&amp;A}</t>
        </is>
      </c>
      <c r="H120" t="inlineStr">
        <is>
          <t>line_item</t>
        </is>
      </c>
      <c r="I120" t="inlineStr">
        <is>
          <t>current</t>
        </is>
      </c>
      <c r="J120" t="inlineStr">
        <is>
          <t>sb</t>
        </is>
      </c>
      <c r="M120" t="inlineStr">
        <is>
          <t>data</t>
        </is>
      </c>
      <c r="N120" t="inlineStr">
        <is>
          <t>on-change</t>
        </is>
      </c>
      <c r="Q120" t="inlineStr">
        <is>
          <t xml:space="preserve">periods: 36
filled: 36</t>
        </is>
      </c>
      <c r="R120" t="inlineStr">
        <is>
          <t/>
        </is>
      </c>
    </row>
    <row r="121">
      <c r="A121" t="inlineStr">
        <is>
          <t>node</t>
        </is>
      </c>
      <c r="B121" t="inlineStr">
        <is>
          <t>Change in AR</t>
        </is>
      </c>
      <c r="C121" t="inlineStr">
        <is>
          <t>Change in AR is a line item on Cash Flow: 36 of its 36 months hold a number, from -24,228.55 to 11,550.82.</t>
        </is>
      </c>
      <c r="D121" t="inlineStr">
        <is>
          <t>computed</t>
        </is>
      </c>
      <c r="E121" t="inlineStr">
        <is>
          <t>2026-09-29</t>
        </is>
      </c>
      <c r="G121" t="inlineStr">
        <is>
          <t>line:Cash Flow.{Change in AR}</t>
        </is>
      </c>
      <c r="H121" t="inlineStr">
        <is>
          <t>line_item</t>
        </is>
      </c>
      <c r="I121" t="inlineStr">
        <is>
          <t>current</t>
        </is>
      </c>
      <c r="J121" t="inlineStr">
        <is>
          <t>sb</t>
        </is>
      </c>
      <c r="M121" t="inlineStr">
        <is>
          <t>data</t>
        </is>
      </c>
      <c r="N121" t="inlineStr">
        <is>
          <t>on-change</t>
        </is>
      </c>
      <c r="Q121" t="inlineStr">
        <is>
          <t xml:space="preserve">periods: 36
filled: 36</t>
        </is>
      </c>
      <c r="R121" t="inlineStr">
        <is>
          <t/>
        </is>
      </c>
    </row>
    <row r="122">
      <c r="A122" t="inlineStr">
        <is>
          <t>node</t>
        </is>
      </c>
      <c r="B122" t="inlineStr">
        <is>
          <t>Change in AP</t>
        </is>
      </c>
      <c r="C122" t="inlineStr">
        <is>
          <t>Change in AP is a line item on Cash Flow: 36 of its 36 months hold a number, from -21,205.44 to 152,565.</t>
        </is>
      </c>
      <c r="D122" t="inlineStr">
        <is>
          <t>computed</t>
        </is>
      </c>
      <c r="E122" t="inlineStr">
        <is>
          <t>2026-09-29</t>
        </is>
      </c>
      <c r="G122" t="inlineStr">
        <is>
          <t>line:Cash Flow.{Change in AP}</t>
        </is>
      </c>
      <c r="H122" t="inlineStr">
        <is>
          <t>line_item</t>
        </is>
      </c>
      <c r="I122" t="inlineStr">
        <is>
          <t>current</t>
        </is>
      </c>
      <c r="J122" t="inlineStr">
        <is>
          <t>sb</t>
        </is>
      </c>
      <c r="M122" t="inlineStr">
        <is>
          <t>data</t>
        </is>
      </c>
      <c r="N122" t="inlineStr">
        <is>
          <t>on-change</t>
        </is>
      </c>
      <c r="Q122" t="inlineStr">
        <is>
          <t xml:space="preserve">periods: 36
filled: 36</t>
        </is>
      </c>
      <c r="R122" t="inlineStr">
        <is>
          <t/>
        </is>
      </c>
    </row>
    <row r="123">
      <c r="A123" t="inlineStr">
        <is>
          <t>node</t>
        </is>
      </c>
      <c r="B123" t="inlineStr">
        <is>
          <t>Cash from Operations</t>
        </is>
      </c>
      <c r="C123" t="inlineStr">
        <is>
          <t>Cash from Operations is a line item on Cash Flow: 36 of its 36 months hold a number, from -589,486.48 to -167,065.</t>
        </is>
      </c>
      <c r="D123" t="inlineStr">
        <is>
          <t>computed</t>
        </is>
      </c>
      <c r="E123" t="inlineStr">
        <is>
          <t>2026-09-29</t>
        </is>
      </c>
      <c r="G123" t="inlineStr">
        <is>
          <t>line:Cash Flow.{Cash from Operations}</t>
        </is>
      </c>
      <c r="H123" t="inlineStr">
        <is>
          <t>line_item</t>
        </is>
      </c>
      <c r="I123" t="inlineStr">
        <is>
          <t>current</t>
        </is>
      </c>
      <c r="J123" t="inlineStr">
        <is>
          <t>sb</t>
        </is>
      </c>
      <c r="M123" t="inlineStr">
        <is>
          <t>data</t>
        </is>
      </c>
      <c r="N123" t="inlineStr">
        <is>
          <t>on-change</t>
        </is>
      </c>
      <c r="Q123" t="inlineStr">
        <is>
          <t xml:space="preserve">periods: 36
filled: 36</t>
        </is>
      </c>
      <c r="R123" t="inlineStr">
        <is>
          <t/>
        </is>
      </c>
    </row>
    <row r="124">
      <c r="A124" t="inlineStr">
        <is>
          <t>node</t>
        </is>
      </c>
      <c r="B124" t="inlineStr">
        <is>
          <t>Capex</t>
        </is>
      </c>
      <c r="C124" t="inlineStr">
        <is>
          <t>Capex is a line item on Cash Flow: 36 of its 36 months hold a number, from -12,000 to -12,000.</t>
        </is>
      </c>
      <c r="D124" t="inlineStr">
        <is>
          <t>computed</t>
        </is>
      </c>
      <c r="E124" t="inlineStr">
        <is>
          <t>2026-09-29</t>
        </is>
      </c>
      <c r="G124" t="inlineStr">
        <is>
          <t>line:Cash Flow.{Capex}</t>
        </is>
      </c>
      <c r="H124" t="inlineStr">
        <is>
          <t>line_item</t>
        </is>
      </c>
      <c r="I124" t="inlineStr">
        <is>
          <t>current</t>
        </is>
      </c>
      <c r="J124" t="inlineStr">
        <is>
          <t>sb</t>
        </is>
      </c>
      <c r="M124" t="inlineStr">
        <is>
          <t>data</t>
        </is>
      </c>
      <c r="N124" t="inlineStr">
        <is>
          <t>on-change</t>
        </is>
      </c>
      <c r="Q124" t="inlineStr">
        <is>
          <t xml:space="preserve">periods: 36
filled: 36</t>
        </is>
      </c>
      <c r="R124" t="inlineStr">
        <is>
          <t/>
        </is>
      </c>
    </row>
    <row r="125">
      <c r="A125" t="inlineStr">
        <is>
          <t>node</t>
        </is>
      </c>
      <c r="B125" t="inlineStr">
        <is>
          <t>Cash from Investing</t>
        </is>
      </c>
      <c r="C125" t="inlineStr">
        <is>
          <t>Cash from Investing is a line item on Cash Flow: 36 of its 36 months hold a number, from -12,000 to -12,000.</t>
        </is>
      </c>
      <c r="D125" t="inlineStr">
        <is>
          <t>computed</t>
        </is>
      </c>
      <c r="E125" t="inlineStr">
        <is>
          <t>2026-09-29</t>
        </is>
      </c>
      <c r="G125" t="inlineStr">
        <is>
          <t>line:Cash Flow.{Cash from Investing}</t>
        </is>
      </c>
      <c r="H125" t="inlineStr">
        <is>
          <t>line_item</t>
        </is>
      </c>
      <c r="I125" t="inlineStr">
        <is>
          <t>current</t>
        </is>
      </c>
      <c r="J125" t="inlineStr">
        <is>
          <t>sb</t>
        </is>
      </c>
      <c r="M125" t="inlineStr">
        <is>
          <t>data</t>
        </is>
      </c>
      <c r="N125" t="inlineStr">
        <is>
          <t>on-change</t>
        </is>
      </c>
      <c r="Q125" t="inlineStr">
        <is>
          <t xml:space="preserve">periods: 36
filled: 36</t>
        </is>
      </c>
      <c r="R125" t="inlineStr">
        <is>
          <t/>
        </is>
      </c>
    </row>
    <row r="126">
      <c r="A126" t="inlineStr">
        <is>
          <t>node</t>
        </is>
      </c>
      <c r="B126" t="inlineStr">
        <is>
          <t>Equity raised</t>
        </is>
      </c>
      <c r="C126" t="inlineStr">
        <is>
          <t>Equity raised is a line item on Cash Flow: 36 of its 36 months hold a number, from 0 to 15,000,000.</t>
        </is>
      </c>
      <c r="D126" t="inlineStr">
        <is>
          <t>computed</t>
        </is>
      </c>
      <c r="E126" t="inlineStr">
        <is>
          <t>2026-09-29</t>
        </is>
      </c>
      <c r="G126" t="inlineStr">
        <is>
          <t>line:Cash Flow.{Equity raised}</t>
        </is>
      </c>
      <c r="H126" t="inlineStr">
        <is>
          <t>line_item</t>
        </is>
      </c>
      <c r="I126" t="inlineStr">
        <is>
          <t>current</t>
        </is>
      </c>
      <c r="J126" t="inlineStr">
        <is>
          <t>sb</t>
        </is>
      </c>
      <c r="M126" t="inlineStr">
        <is>
          <t>data</t>
        </is>
      </c>
      <c r="N126" t="inlineStr">
        <is>
          <t>on-change</t>
        </is>
      </c>
      <c r="Q126" t="inlineStr">
        <is>
          <t xml:space="preserve">periods: 36
filled: 36</t>
        </is>
      </c>
      <c r="R126" t="inlineStr">
        <is>
          <t/>
        </is>
      </c>
    </row>
    <row r="127">
      <c r="A127" t="inlineStr">
        <is>
          <t>node</t>
        </is>
      </c>
      <c r="B127" t="inlineStr">
        <is>
          <t>Cash from Financing</t>
        </is>
      </c>
      <c r="C127" t="inlineStr">
        <is>
          <t>Cash from Financing is a line item on Cash Flow: 36 of its 36 months hold a number, from 0 to 15,000,000.</t>
        </is>
      </c>
      <c r="D127" t="inlineStr">
        <is>
          <t>computed</t>
        </is>
      </c>
      <c r="E127" t="inlineStr">
        <is>
          <t>2026-09-29</t>
        </is>
      </c>
      <c r="G127" t="inlineStr">
        <is>
          <t>line:Cash Flow.{Cash from Financing}</t>
        </is>
      </c>
      <c r="H127" t="inlineStr">
        <is>
          <t>line_item</t>
        </is>
      </c>
      <c r="I127" t="inlineStr">
        <is>
          <t>current</t>
        </is>
      </c>
      <c r="J127" t="inlineStr">
        <is>
          <t>sb</t>
        </is>
      </c>
      <c r="M127" t="inlineStr">
        <is>
          <t>data</t>
        </is>
      </c>
      <c r="N127" t="inlineStr">
        <is>
          <t>on-change</t>
        </is>
      </c>
      <c r="Q127" t="inlineStr">
        <is>
          <t xml:space="preserve">periods: 36
filled: 36</t>
        </is>
      </c>
      <c r="R127" t="inlineStr">
        <is>
          <t/>
        </is>
      </c>
    </row>
    <row r="128">
      <c r="A128" t="inlineStr">
        <is>
          <t>node</t>
        </is>
      </c>
      <c r="B128" t="inlineStr">
        <is>
          <t>Net Change in Cash</t>
        </is>
      </c>
      <c r="C128" t="inlineStr">
        <is>
          <t>Net Change in Cash is a line item on Cash Flow: 36 of its 36 months hold a number, from -601,486.48 to 14,556,530.11.</t>
        </is>
      </c>
      <c r="D128" t="inlineStr">
        <is>
          <t>computed</t>
        </is>
      </c>
      <c r="E128" t="inlineStr">
        <is>
          <t>2026-09-29</t>
        </is>
      </c>
      <c r="G128" t="inlineStr">
        <is>
          <t>line:Cash Flow.{Net Change in Cash}</t>
        </is>
      </c>
      <c r="H128" t="inlineStr">
        <is>
          <t>line_item</t>
        </is>
      </c>
      <c r="I128" t="inlineStr">
        <is>
          <t>current</t>
        </is>
      </c>
      <c r="J128" t="inlineStr">
        <is>
          <t>sb</t>
        </is>
      </c>
      <c r="M128" t="inlineStr">
        <is>
          <t>data</t>
        </is>
      </c>
      <c r="N128" t="inlineStr">
        <is>
          <t>on-change</t>
        </is>
      </c>
      <c r="Q128" t="inlineStr">
        <is>
          <t xml:space="preserve">periods: 36
filled: 36</t>
        </is>
      </c>
      <c r="R128" t="inlineStr">
        <is>
          <t/>
        </is>
      </c>
    </row>
    <row r="129">
      <c r="A129" t="inlineStr">
        <is>
          <t>node</t>
        </is>
      </c>
      <c r="B129" t="inlineStr">
        <is>
          <t>Beginning Cash</t>
        </is>
      </c>
      <c r="C129" t="inlineStr">
        <is>
          <t>Beginning Cash is a line item on Cash Flow: 36 of its 36 months hold a number, from 934,948.55 to 15,491,478.66.</t>
        </is>
      </c>
      <c r="D129" t="inlineStr">
        <is>
          <t>computed</t>
        </is>
      </c>
      <c r="E129" t="inlineStr">
        <is>
          <t>2026-09-29</t>
        </is>
      </c>
      <c r="G129" t="inlineStr">
        <is>
          <t>line:Cash Flow.{Beginning Cash}</t>
        </is>
      </c>
      <c r="H129" t="inlineStr">
        <is>
          <t>line_item</t>
        </is>
      </c>
      <c r="I129" t="inlineStr">
        <is>
          <t>current</t>
        </is>
      </c>
      <c r="J129" t="inlineStr">
        <is>
          <t>sb</t>
        </is>
      </c>
      <c r="M129" t="inlineStr">
        <is>
          <t>data</t>
        </is>
      </c>
      <c r="N129" t="inlineStr">
        <is>
          <t>on-change</t>
        </is>
      </c>
      <c r="Q129" t="inlineStr">
        <is>
          <t xml:space="preserve">periods: 36
filled: 36</t>
        </is>
      </c>
      <c r="R129" t="inlineStr">
        <is>
          <t/>
        </is>
      </c>
    </row>
    <row r="130">
      <c r="A130" t="inlineStr">
        <is>
          <t>node</t>
        </is>
      </c>
      <c r="B130" t="inlineStr">
        <is>
          <t>Ending Cash</t>
        </is>
      </c>
      <c r="C130" t="inlineStr">
        <is>
          <t>Ending Cash is a line item on Cash Flow: 36 of its 36 months hold a number, from 934,948.55 to 15,491,478.66.</t>
        </is>
      </c>
      <c r="D130" t="inlineStr">
        <is>
          <t>computed</t>
        </is>
      </c>
      <c r="E130" t="inlineStr">
        <is>
          <t>2026-09-29</t>
        </is>
      </c>
      <c r="G130" t="inlineStr">
        <is>
          <t>line:Cash Flow.{Ending Cash}</t>
        </is>
      </c>
      <c r="H130" t="inlineStr">
        <is>
          <t>line_item</t>
        </is>
      </c>
      <c r="I130" t="inlineStr">
        <is>
          <t>current</t>
        </is>
      </c>
      <c r="J130" t="inlineStr">
        <is>
          <t>sb</t>
        </is>
      </c>
      <c r="M130" t="inlineStr">
        <is>
          <t>data</t>
        </is>
      </c>
      <c r="N130" t="inlineStr">
        <is>
          <t>on-change</t>
        </is>
      </c>
      <c r="Q130" t="inlineStr">
        <is>
          <t xml:space="preserve">periods: 36
filled: 36</t>
        </is>
      </c>
      <c r="R130" t="inlineStr">
        <is>
          <t/>
        </is>
      </c>
    </row>
    <row r="131">
      <c r="A131" t="inlineStr">
        <is>
          <t>node</t>
        </is>
      </c>
      <c r="B131" t="inlineStr">
        <is>
          <t>Month</t>
        </is>
      </c>
      <c r="C131" t="inlineStr">
        <is>
          <t>Month on Balance Sheet is a category, 7 distinct values.</t>
        </is>
      </c>
      <c r="D131" t="inlineStr">
        <is>
          <t>computed</t>
        </is>
      </c>
      <c r="E131" t="inlineStr">
        <is>
          <t>2026-09-29</t>
        </is>
      </c>
      <c r="G131" t="inlineStr">
        <is>
          <t>col:Balance Sheet.{Month}</t>
        </is>
      </c>
      <c r="H131" t="inlineStr">
        <is>
          <t>dimension</t>
        </is>
      </c>
      <c r="I131" t="inlineStr">
        <is>
          <t>current</t>
        </is>
      </c>
      <c r="J131" t="inlineStr">
        <is>
          <t>sb</t>
        </is>
      </c>
      <c r="K131" t="inlineStr">
        <is>
          <t>Balance Sheet!{Month}</t>
        </is>
      </c>
      <c r="L131" t="inlineStr">
        <is>
          <t>607f8748dac0</t>
        </is>
      </c>
      <c r="M131" t="inlineStr">
        <is>
          <t>data</t>
        </is>
      </c>
      <c r="N131" t="inlineStr">
        <is>
          <t>on-change</t>
        </is>
      </c>
      <c r="Q131" t="inlineStr">
        <is>
          <t xml:space="preserve">type: text
semantic: dimension
rows: 7
distinct: 7
blank_rate: 0.0
values: Cash | Accounts Receivable | PP&amp;E, net | Accounts Payable | Paid-in Capital | Retained Earnings | Balance Check</t>
        </is>
      </c>
      <c r="R131" t="inlineStr">
        <is>
          <t/>
        </is>
      </c>
    </row>
    <row r="132">
      <c r="A132" t="inlineStr">
        <is>
          <t>node</t>
        </is>
      </c>
      <c r="B132" t="inlineStr">
        <is>
          <t>Cash</t>
        </is>
      </c>
      <c r="C132" t="inlineStr">
        <is>
          <t>Cash is a line item on Balance Sheet: 36 of its 36 months hold a number, from 934,948.55 to 15,491,478.66.</t>
        </is>
      </c>
      <c r="D132" t="inlineStr">
        <is>
          <t>computed</t>
        </is>
      </c>
      <c r="E132" t="inlineStr">
        <is>
          <t>2026-09-29</t>
        </is>
      </c>
      <c r="G132" t="inlineStr">
        <is>
          <t>line:Balance Sheet.{Cash}</t>
        </is>
      </c>
      <c r="H132" t="inlineStr">
        <is>
          <t>line_item</t>
        </is>
      </c>
      <c r="I132" t="inlineStr">
        <is>
          <t>current</t>
        </is>
      </c>
      <c r="J132" t="inlineStr">
        <is>
          <t>sb</t>
        </is>
      </c>
      <c r="M132" t="inlineStr">
        <is>
          <t>data</t>
        </is>
      </c>
      <c r="N132" t="inlineStr">
        <is>
          <t>on-change</t>
        </is>
      </c>
      <c r="Q132" t="inlineStr">
        <is>
          <t xml:space="preserve">periods: 36
filled: 36</t>
        </is>
      </c>
      <c r="R132" t="inlineStr">
        <is>
          <t/>
        </is>
      </c>
    </row>
    <row r="133">
      <c r="A133" t="inlineStr">
        <is>
          <t>node</t>
        </is>
      </c>
      <c r="B133" t="inlineStr">
        <is>
          <t>Accounts Receivable</t>
        </is>
      </c>
      <c r="C133" t="inlineStr">
        <is>
          <t>Accounts Receivable is a line item on Balance Sheet: 36 of its 36 months hold a number, from 191,756 to 441,901.29.</t>
        </is>
      </c>
      <c r="D133" t="inlineStr">
        <is>
          <t>computed</t>
        </is>
      </c>
      <c r="E133" t="inlineStr">
        <is>
          <t>2026-09-29</t>
        </is>
      </c>
      <c r="G133" t="inlineStr">
        <is>
          <t>line:Balance Sheet.{Accounts Receivable}</t>
        </is>
      </c>
      <c r="H133" t="inlineStr">
        <is>
          <t>line_item</t>
        </is>
      </c>
      <c r="I133" t="inlineStr">
        <is>
          <t>current</t>
        </is>
      </c>
      <c r="J133" t="inlineStr">
        <is>
          <t>sb</t>
        </is>
      </c>
      <c r="M133" t="inlineStr">
        <is>
          <t>data</t>
        </is>
      </c>
      <c r="N133" t="inlineStr">
        <is>
          <t>on-change</t>
        </is>
      </c>
      <c r="Q133" t="inlineStr">
        <is>
          <t xml:space="preserve">periods: 36
filled: 36</t>
        </is>
      </c>
      <c r="R133" t="inlineStr">
        <is>
          <t/>
        </is>
      </c>
    </row>
    <row r="134">
      <c r="A134" t="inlineStr">
        <is>
          <t>node</t>
        </is>
      </c>
      <c r="B134" t="inlineStr">
        <is>
          <t>PP&amp;E, net</t>
        </is>
      </c>
      <c r="C134" t="inlineStr">
        <is>
          <t>PP&amp;E, net is a line item on Balance Sheet: 36 of its 36 months hold a number, from 313,000 to 418,000.</t>
        </is>
      </c>
      <c r="D134" t="inlineStr">
        <is>
          <t>computed</t>
        </is>
      </c>
      <c r="E134" t="inlineStr">
        <is>
          <t>2026-09-29</t>
        </is>
      </c>
      <c r="G134" t="inlineStr">
        <is>
          <t>line:Balance Sheet.{PP&amp;E, net}</t>
        </is>
      </c>
      <c r="H134" t="inlineStr">
        <is>
          <t>line_item</t>
        </is>
      </c>
      <c r="I134" t="inlineStr">
        <is>
          <t>current</t>
        </is>
      </c>
      <c r="J134" t="inlineStr">
        <is>
          <t>sb</t>
        </is>
      </c>
      <c r="M134" t="inlineStr">
        <is>
          <t>data</t>
        </is>
      </c>
      <c r="N134" t="inlineStr">
        <is>
          <t>on-change</t>
        </is>
      </c>
      <c r="Q134" t="inlineStr">
        <is>
          <t xml:space="preserve">periods: 36
filled: 36</t>
        </is>
      </c>
      <c r="R134" t="inlineStr">
        <is>
          <t/>
        </is>
      </c>
    </row>
    <row r="135">
      <c r="A135" t="inlineStr">
        <is>
          <t>node</t>
        </is>
      </c>
      <c r="B135" t="inlineStr">
        <is>
          <t>Accounts Payable</t>
        </is>
      </c>
      <c r="C135" t="inlineStr">
        <is>
          <t>Accounts Payable is a line item on Balance Sheet: 36 of its 36 months hold a number, from 250,565 to 511,738.85.</t>
        </is>
      </c>
      <c r="D135" t="inlineStr">
        <is>
          <t>computed</t>
        </is>
      </c>
      <c r="E135" t="inlineStr">
        <is>
          <t>2026-09-29</t>
        </is>
      </c>
      <c r="G135" t="inlineStr">
        <is>
          <t>line:Balance Sheet.{Accounts Payable}</t>
        </is>
      </c>
      <c r="H135" t="inlineStr">
        <is>
          <t>line_item</t>
        </is>
      </c>
      <c r="I135" t="inlineStr">
        <is>
          <t>current</t>
        </is>
      </c>
      <c r="J135" t="inlineStr">
        <is>
          <t>sb</t>
        </is>
      </c>
      <c r="M135" t="inlineStr">
        <is>
          <t>data</t>
        </is>
      </c>
      <c r="N135" t="inlineStr">
        <is>
          <t>on-change</t>
        </is>
      </c>
      <c r="Q135" t="inlineStr">
        <is>
          <t xml:space="preserve">periods: 36
filled: 36</t>
        </is>
      </c>
      <c r="R135" t="inlineStr">
        <is>
          <t/>
        </is>
      </c>
    </row>
    <row r="136">
      <c r="A136" t="inlineStr">
        <is>
          <t>node</t>
        </is>
      </c>
      <c r="B136" t="inlineStr">
        <is>
          <t>Paid-in Capital</t>
        </is>
      </c>
      <c r="C136" t="inlineStr">
        <is>
          <t>Paid-in Capital is a line item on Balance Sheet: 36 of its 36 months hold a number, from 9,500,000 to 24,500,000.</t>
        </is>
      </c>
      <c r="D136" t="inlineStr">
        <is>
          <t>computed</t>
        </is>
      </c>
      <c r="E136" t="inlineStr">
        <is>
          <t>2026-09-29</t>
        </is>
      </c>
      <c r="G136" t="inlineStr">
        <is>
          <t>line:Balance Sheet.{Paid-in Capital}</t>
        </is>
      </c>
      <c r="H136" t="inlineStr">
        <is>
          <t>line_item</t>
        </is>
      </c>
      <c r="I136" t="inlineStr">
        <is>
          <t>current</t>
        </is>
      </c>
      <c r="J136" t="inlineStr">
        <is>
          <t>sb</t>
        </is>
      </c>
      <c r="M136" t="inlineStr">
        <is>
          <t>data</t>
        </is>
      </c>
      <c r="N136" t="inlineStr">
        <is>
          <t>on-change</t>
        </is>
      </c>
      <c r="Q136" t="inlineStr">
        <is>
          <t xml:space="preserve">periods: 36
filled: 36</t>
        </is>
      </c>
      <c r="R136" t="inlineStr">
        <is>
          <t/>
        </is>
      </c>
    </row>
    <row r="137">
      <c r="A137" t="inlineStr">
        <is>
          <t>node</t>
        </is>
      </c>
      <c r="B137" t="inlineStr">
        <is>
          <t>Retained Earnings</t>
        </is>
      </c>
      <c r="C137" t="inlineStr">
        <is>
          <t>Retained Earnings is a line item on Balance Sheet: 36 of its 36 months hold a number, from -19,699,466.94 to -3,224,874.</t>
        </is>
      </c>
      <c r="D137" t="inlineStr">
        <is>
          <t>computed</t>
        </is>
      </c>
      <c r="E137" t="inlineStr">
        <is>
          <t>2026-09-29</t>
        </is>
      </c>
      <c r="G137" t="inlineStr">
        <is>
          <t>line:Balance Sheet.{Retained Earnings}</t>
        </is>
      </c>
      <c r="H137" t="inlineStr">
        <is>
          <t>line_item</t>
        </is>
      </c>
      <c r="I137" t="inlineStr">
        <is>
          <t>current</t>
        </is>
      </c>
      <c r="J137" t="inlineStr">
        <is>
          <t>sb</t>
        </is>
      </c>
      <c r="M137" t="inlineStr">
        <is>
          <t>data</t>
        </is>
      </c>
      <c r="N137" t="inlineStr">
        <is>
          <t>on-change</t>
        </is>
      </c>
      <c r="Q137" t="inlineStr">
        <is>
          <t xml:space="preserve">periods: 36
filled: 36</t>
        </is>
      </c>
      <c r="R137" t="inlineStr">
        <is>
          <t/>
        </is>
      </c>
    </row>
    <row r="138">
      <c r="A138" t="inlineStr">
        <is>
          <t>node</t>
        </is>
      </c>
      <c r="B138" t="inlineStr">
        <is>
          <t>Balance Check</t>
        </is>
      </c>
      <c r="C138" t="inlineStr">
        <is>
          <t>Balance Check is a line item on Balance Sheet: 36 of its 36 months hold a number, from 0 to 26,110.52.</t>
        </is>
      </c>
      <c r="D138" t="inlineStr">
        <is>
          <t>computed</t>
        </is>
      </c>
      <c r="E138" t="inlineStr">
        <is>
          <t>2026-09-29</t>
        </is>
      </c>
      <c r="G138" t="inlineStr">
        <is>
          <t>line:Balance Sheet.{Balance Check}</t>
        </is>
      </c>
      <c r="H138" t="inlineStr">
        <is>
          <t>line_item</t>
        </is>
      </c>
      <c r="I138" t="inlineStr">
        <is>
          <t>current</t>
        </is>
      </c>
      <c r="J138" t="inlineStr">
        <is>
          <t>sb</t>
        </is>
      </c>
      <c r="M138" t="inlineStr">
        <is>
          <t>data</t>
        </is>
      </c>
      <c r="N138" t="inlineStr">
        <is>
          <t>on-change</t>
        </is>
      </c>
      <c r="Q138" t="inlineStr">
        <is>
          <t xml:space="preserve">periods: 36
filled: 36</t>
        </is>
      </c>
      <c r="R138" t="inlineStr">
        <is>
          <t/>
        </is>
      </c>
    </row>
  </sheetData>
  <pageMargins left="0.7" right="0.7" top="0.75" bottom="0.75" header="0.3" footer="0.3"/>
  <drawing r:id="rId1"/>
  <!--spreadsheet-brain put-back 1: eGwvd29ya2Jvb2sueG1s.PHdvcmtib29rVmlldyB4V2luZG93PSIyNDAiIHlXaW5kb3c9IjE1IiB3aW5kb3dXaWR0aD0iMTYwOTUiIHdpbmRvd0hlaWdodD0iOTY2MCIvPg==.PHdvcmtib29rVmlldyB4V2luZG93PSIyNDAiIHlXaW5kb3c9IjE1IiB3aW5kb3dXaWR0aD0iMTYwOTUiIHdpbmRvd0hlaWdodD0iOTY2MCIgYWN0aXZlVGFiPSI1Ii8+ eGwvd29ya3NoZWV0cy9zaGVldDEueG1s.PHNoZWV0VmlldyB0YWJTZWxlY3RlZD0iMSIgd29ya2Jvb2tWaWV3SWQ9IjAiLz4=.PHNoZWV0VmlldyB3b3JrYm9va1ZpZXdJZD0iMCIvPg== -->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Inputs</vt:lpstr>
      <vt:lpstr>Revenue</vt:lpstr>
      <vt:lpstr>P&amp;L</vt:lpstr>
      <vt:lpstr>Cash Flow</vt:lpstr>
      <vt:lpstr>Balance Sheet</vt:lpstr>
      <vt:lpstr>_brain</vt:lpstr>
    </vt:vector>
  </TitlesOfParts>
  <Company>Tallowbird Software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Operating Model</dc:title>
  <dc:creator>Marcus Bell</dc:creator>
  <dc:description>Synthetic fixture for spreadsheet-brain evals. All names are fictional.</dc:description>
  <cp:lastModifiedBy>Marcus Bell</cp:lastModifiedBy>
  <dcterms:created xsi:type="dcterms:W3CDTF">2026-09-10T17:30:00Z</dcterms:created>
  <dcterms:modified xsi:type="dcterms:W3CDTF">2026-09-10T17:30:00Z</dcterms:modified>
</cp:coreProperties>
</file>
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Sales" sheetId="1" r:id="rId1"/>
    <sheet name="Monthly Units" sheetId="2" r:id="rId2"/>
  </sheets>
  <calcPr calcId="124519" fullCalcOnLoad="1"/>
</workbook>
</file>

<file path=xl/sharedStrings.xml><?xml version="1.0" encoding="utf-8"?>
<sst xmlns="http://schemas.openxmlformats.org/spreadsheetml/2006/main" count="71" uniqueCount="57">
  <si>
    <t>Kestrel Outdoor Gear | Regional Sales FY2025</t>
  </si>
  <si>
    <t>Region</t>
  </si>
  <si>
    <t>Rep</t>
  </si>
  <si>
    <t>Q1</t>
  </si>
  <si>
    <t>Units</t>
  </si>
  <si>
    <t>Revenue</t>
  </si>
  <si>
    <t>Q2</t>
  </si>
  <si>
    <t>Q3</t>
  </si>
  <si>
    <t>Q4</t>
  </si>
  <si>
    <t>FY Total</t>
  </si>
  <si>
    <t>East</t>
  </si>
  <si>
    <t>Alvarez, J.</t>
  </si>
  <si>
    <t>Brooks, T.</t>
  </si>
  <si>
    <t>Chen, M.</t>
  </si>
  <si>
    <t>Dawson, R.</t>
  </si>
  <si>
    <t>East Subtotal</t>
  </si>
  <si>
    <t>West</t>
  </si>
  <si>
    <t>Ellis, K.</t>
  </si>
  <si>
    <t>Foster, A.</t>
  </si>
  <si>
    <t>Grant, L.</t>
  </si>
  <si>
    <t>Hayes, P.</t>
  </si>
  <si>
    <t>West Subtotal</t>
  </si>
  <si>
    <t>Central</t>
  </si>
  <si>
    <t>Iverson, S.</t>
  </si>
  <si>
    <t>Jordan, B.</t>
  </si>
  <si>
    <t>Kaur, N.</t>
  </si>
  <si>
    <t>Central Subtotal</t>
  </si>
  <si>
    <t>Grand Total</t>
  </si>
  <si>
    <t>Q1 Returns</t>
  </si>
  <si>
    <t>Q2 Returns</t>
  </si>
  <si>
    <t>Q3 Returns</t>
  </si>
  <si>
    <t>Q4 Returns</t>
  </si>
  <si>
    <t>FY Returns</t>
  </si>
  <si>
    <t>Total</t>
  </si>
  <si>
    <t>Note: West Q3 excludes the Driftwood account, which moved to Key Accounts in August. Figures from the regional close files.</t>
  </si>
  <si>
    <t>SKU</t>
  </si>
  <si>
    <t>Product</t>
  </si>
  <si>
    <t>KOG-101</t>
  </si>
  <si>
    <t>Trailhead Pack 30L</t>
  </si>
  <si>
    <t>KOG-102</t>
  </si>
  <si>
    <t>Ridgeline Pack 45L</t>
  </si>
  <si>
    <t>KOG-201</t>
  </si>
  <si>
    <t>Summit Shell Jacket</t>
  </si>
  <si>
    <t>KOG-202</t>
  </si>
  <si>
    <t>Canopy Rain Poncho</t>
  </si>
  <si>
    <t>KOG-301</t>
  </si>
  <si>
    <t>Cairn Trekking Poles</t>
  </si>
  <si>
    <t>KOG-302</t>
  </si>
  <si>
    <t>Switchback Headlamp</t>
  </si>
  <si>
    <t>KOG-401</t>
  </si>
  <si>
    <t>Basecamp Tent 2P</t>
  </si>
  <si>
    <t>KOG-402</t>
  </si>
  <si>
    <t>Basecamp Tent 4P</t>
  </si>
  <si>
    <t>KOG-501</t>
  </si>
  <si>
    <t>Glacier Sleeping Bag</t>
  </si>
  <si>
    <t>KOG-502</t>
  </si>
  <si>
    <t>Ember Camp Chair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</si>
</sst>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mmm-yy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A4B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E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5" fontId="2" fillId="0" borderId="2" xfId="0" applyNumberFormat="1" applyFont="1" applyBorder="1"/>
    <xf numFmtId="165" fontId="2" fillId="0" borderId="3" xfId="0" applyNumberFormat="1" applyFont="1" applyBorder="1"/>
    <xf numFmtId="0" fontId="3" fillId="0" borderId="0" xfId="0" applyFont="1"/>
    <xf numFmtId="166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12" width="1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/>
      <c r="E3" s="2" t="s">
        <v>6</v>
      </c>
      <c r="F3" s="2"/>
      <c r="G3" s="2" t="s">
        <v>7</v>
      </c>
      <c r="H3" s="2"/>
      <c r="I3" s="2" t="s">
        <v>8</v>
      </c>
      <c r="J3" s="2"/>
      <c r="K3" s="2" t="s">
        <v>9</v>
      </c>
      <c r="L3" s="2"/>
    </row>
    <row r="4" spans="1:12">
      <c r="A4" s="2"/>
      <c r="B4" s="2"/>
      <c r="C4" s="2" t="s">
        <v>4</v>
      </c>
      <c r="D4" s="2" t="s">
        <v>5</v>
      </c>
      <c r="E4" s="2" t="s">
        <v>4</v>
      </c>
      <c r="F4" s="2" t="s">
        <v>5</v>
      </c>
      <c r="G4" s="2" t="s">
        <v>4</v>
      </c>
      <c r="H4" s="2" t="s">
        <v>5</v>
      </c>
      <c r="I4" s="2" t="s">
        <v>4</v>
      </c>
      <c r="J4" s="2" t="s">
        <v>5</v>
      </c>
      <c r="K4" s="2" t="s">
        <v>4</v>
      </c>
      <c r="L4" s="2" t="s">
        <v>5</v>
      </c>
    </row>
    <row r="5" spans="1:12">
      <c r="A5" t="s">
        <v>10</v>
      </c>
      <c r="B5" t="s">
        <v>11</v>
      </c>
      <c r="C5" s="3">
        <v>335</v>
      </c>
      <c r="D5" s="4">
        <v>82.90000000000001</v>
      </c>
      <c r="E5" s="3">
        <v>232</v>
      </c>
      <c r="F5" s="4">
        <v>59.9</v>
      </c>
      <c r="G5" s="3">
        <v>255</v>
      </c>
      <c r="H5" s="4">
        <v>63.6</v>
      </c>
      <c r="I5" s="3">
        <v>396</v>
      </c>
      <c r="J5" s="4">
        <v>98</v>
      </c>
      <c r="K5" s="3">
        <f>C5+E5+G5+I5</f>
        <v>1218</v>
      </c>
      <c r="L5" s="4">
        <f>D5+F5+H5+J5</f>
        <v>304.4</v>
      </c>
    </row>
    <row r="6" spans="1:12">
      <c r="B6" t="s">
        <v>12</v>
      </c>
      <c r="C6" s="3">
        <v>133</v>
      </c>
      <c r="D6" s="4">
        <v>29.7</v>
      </c>
      <c r="E6" s="3">
        <v>175</v>
      </c>
      <c r="F6" s="4">
        <v>38.1</v>
      </c>
      <c r="G6" s="3">
        <v>243</v>
      </c>
      <c r="H6" s="4">
        <v>54.5</v>
      </c>
      <c r="I6" s="3">
        <v>115</v>
      </c>
      <c r="J6" s="4">
        <v>27.4</v>
      </c>
      <c r="K6" s="3">
        <f>C6+E6+G6+I6</f>
        <v>666</v>
      </c>
      <c r="L6" s="4">
        <f>D6+F6+H6+J6</f>
        <v>149.7</v>
      </c>
    </row>
    <row r="7" spans="1:12">
      <c r="B7" t="s">
        <v>13</v>
      </c>
      <c r="C7" s="3">
        <v>366</v>
      </c>
      <c r="D7" s="4">
        <v>74.8</v>
      </c>
      <c r="E7" s="3">
        <v>236</v>
      </c>
      <c r="F7" s="4">
        <v>46.4</v>
      </c>
      <c r="G7" s="3">
        <v>396</v>
      </c>
      <c r="H7" s="4">
        <v>78.2</v>
      </c>
      <c r="I7" s="3">
        <v>351</v>
      </c>
      <c r="J7" s="4">
        <v>69.90000000000001</v>
      </c>
      <c r="K7" s="3">
        <f>C7+E7+G7+I7</f>
        <v>1349</v>
      </c>
      <c r="L7" s="4">
        <f>D7+F7+H7+J7</f>
        <v>269.29999999999995</v>
      </c>
    </row>
    <row r="8" spans="1:12">
      <c r="B8" t="s">
        <v>14</v>
      </c>
      <c r="C8" s="3">
        <v>296</v>
      </c>
      <c r="D8" s="4">
        <v>94.40000000000001</v>
      </c>
      <c r="E8" s="3">
        <v>257</v>
      </c>
      <c r="F8" s="4">
        <v>78.40000000000001</v>
      </c>
      <c r="G8" s="3">
        <v>128</v>
      </c>
      <c r="H8" s="4">
        <v>40.5</v>
      </c>
      <c r="I8" s="3">
        <v>134</v>
      </c>
      <c r="J8" s="4">
        <v>41.9</v>
      </c>
      <c r="K8" s="3">
        <f>C8+E8+G8+I8</f>
        <v>815</v>
      </c>
      <c r="L8" s="4">
        <f>D8+F8+H8+J8</f>
        <v>255.20000000000002</v>
      </c>
    </row>
    <row r="9" spans="1:12">
      <c r="A9" s="5" t="s">
        <v>15</v>
      </c>
      <c r="C9" s="5">
        <f>SUM(C5:C8)</f>
        <v>1130</v>
      </c>
      <c r="D9" s="5">
        <f>SUM(D5:D8)</f>
        <v>281.8</v>
      </c>
      <c r="E9" s="5">
        <f>SUM(E5:E8)</f>
        <v>900</v>
      </c>
      <c r="F9" s="5">
        <f>SUM(F5:F8)</f>
        <v>222.8</v>
      </c>
      <c r="G9" s="5">
        <f>SUM(G5:G8)</f>
        <v>1022</v>
      </c>
      <c r="H9" s="5">
        <f>SUM(H5:H8)</f>
        <v>236.8</v>
      </c>
      <c r="I9" s="5">
        <f>SUM(I5:I8)</f>
        <v>996</v>
      </c>
      <c r="J9" s="5">
        <f>SUM(J5:J8)</f>
        <v>237.20000000000002</v>
      </c>
      <c r="K9" s="5">
        <f>SUM(K5:K8)</f>
        <v>4048</v>
      </c>
      <c r="L9" s="5">
        <f>SUM(L5:L8)</f>
        <v>978.5999999999999</v>
      </c>
    </row>
    <row r="10" spans="1:12">
      <c r="A10" t="s">
        <v>16</v>
      </c>
      <c r="B10" t="s">
        <v>17</v>
      </c>
      <c r="C10" s="3">
        <v>297</v>
      </c>
      <c r="D10" s="4">
        <v>56.2</v>
      </c>
      <c r="E10" s="3">
        <v>113</v>
      </c>
      <c r="F10" s="4">
        <v>20.3</v>
      </c>
      <c r="G10" s="3">
        <v>283</v>
      </c>
      <c r="H10" s="4">
        <v>55.4</v>
      </c>
      <c r="I10" s="3">
        <v>350</v>
      </c>
      <c r="J10" s="4">
        <v>65.8</v>
      </c>
      <c r="K10" s="3">
        <f>C10+E10+G10+I10</f>
        <v>1043</v>
      </c>
      <c r="L10" s="4">
        <f>D10+F10+H10+J10</f>
        <v>197.7</v>
      </c>
    </row>
    <row r="11" spans="1:12">
      <c r="B11" t="s">
        <v>18</v>
      </c>
      <c r="C11" s="3">
        <v>92</v>
      </c>
      <c r="D11" s="4">
        <v>23.7</v>
      </c>
      <c r="E11" s="3">
        <v>404</v>
      </c>
      <c r="F11" s="4">
        <v>105.4</v>
      </c>
      <c r="G11" s="3">
        <v>195</v>
      </c>
      <c r="H11" s="4">
        <v>49.7</v>
      </c>
      <c r="I11" s="3">
        <v>418</v>
      </c>
      <c r="J11" s="4">
        <v>103.6</v>
      </c>
      <c r="K11" s="3">
        <f>C11+E11+G11+I11</f>
        <v>1109</v>
      </c>
      <c r="L11" s="4">
        <f>D11+F11+H11+J11</f>
        <v>282.4</v>
      </c>
    </row>
    <row r="12" spans="1:12">
      <c r="B12" t="s">
        <v>19</v>
      </c>
      <c r="C12" s="3">
        <v>326</v>
      </c>
      <c r="D12" s="4">
        <v>87.59999999999999</v>
      </c>
      <c r="E12" s="3">
        <v>155</v>
      </c>
      <c r="F12" s="4">
        <v>44.7</v>
      </c>
      <c r="G12" s="3">
        <v>100</v>
      </c>
      <c r="H12" s="4">
        <v>27.3</v>
      </c>
      <c r="I12" s="3">
        <v>207</v>
      </c>
      <c r="J12" s="4">
        <v>56.1</v>
      </c>
      <c r="K12" s="3">
        <f>C12+E12+G12+I12</f>
        <v>788</v>
      </c>
      <c r="L12" s="4">
        <f>D12+F12+H12+J12</f>
        <v>215.70000000000002</v>
      </c>
    </row>
    <row r="13" spans="1:12">
      <c r="B13" t="s">
        <v>20</v>
      </c>
      <c r="C13" s="3">
        <v>316</v>
      </c>
      <c r="D13" s="4">
        <v>78.3</v>
      </c>
      <c r="E13" s="3">
        <v>117</v>
      </c>
      <c r="F13" s="4">
        <v>29</v>
      </c>
      <c r="G13" s="3">
        <v>110</v>
      </c>
      <c r="H13" s="4">
        <v>27.7</v>
      </c>
      <c r="I13" s="3">
        <v>397</v>
      </c>
      <c r="J13" s="4">
        <v>105.2</v>
      </c>
      <c r="K13" s="3">
        <f>C13+E13+G13+I13</f>
        <v>940</v>
      </c>
      <c r="L13" s="4">
        <f>D13+F13+H13+J13</f>
        <v>240.2</v>
      </c>
    </row>
    <row r="14" spans="1:12">
      <c r="A14" s="5" t="s">
        <v>21</v>
      </c>
      <c r="C14" s="5">
        <f>SUM(C10:C13)</f>
        <v>1031</v>
      </c>
      <c r="D14" s="5">
        <f>SUM(D10:D13)</f>
        <v>245.8</v>
      </c>
      <c r="E14" s="5">
        <f>SUM(E10:E13)</f>
        <v>789</v>
      </c>
      <c r="F14" s="5">
        <f>SUM(F10:F13)</f>
        <v>199.4</v>
      </c>
      <c r="G14" s="5">
        <f>SUM(G10:G13)</f>
        <v>688</v>
      </c>
      <c r="H14" s="5">
        <f>SUM(H10:H13)</f>
        <v>160.1</v>
      </c>
      <c r="I14" s="5">
        <f>SUM(I10:I13)</f>
        <v>1372</v>
      </c>
      <c r="J14" s="5">
        <f>SUM(J10:J13)</f>
        <v>330.7</v>
      </c>
      <c r="K14" s="5">
        <f>SUM(K10:K13)</f>
        <v>3880</v>
      </c>
      <c r="L14" s="5">
        <f>SUM(L10:L13)</f>
        <v>936.0</v>
      </c>
    </row>
    <row r="15" spans="1:12">
      <c r="A15" t="s">
        <v>22</v>
      </c>
      <c r="B15" t="s">
        <v>23</v>
      </c>
      <c r="C15" s="3">
        <v>360</v>
      </c>
      <c r="D15" s="4">
        <v>102.8</v>
      </c>
      <c r="E15" s="3">
        <v>390</v>
      </c>
      <c r="F15" s="4">
        <v>108.5</v>
      </c>
      <c r="G15" s="3">
        <v>281</v>
      </c>
      <c r="H15" s="4">
        <v>79.09999999999999</v>
      </c>
      <c r="I15" s="3">
        <v>203</v>
      </c>
      <c r="J15" s="4">
        <v>57.4</v>
      </c>
      <c r="K15" s="3">
        <f>C15+E15+G15+I15</f>
        <v>1234</v>
      </c>
      <c r="L15" s="4">
        <f>D15+F15+H15+J15</f>
        <v>347.79999999999995</v>
      </c>
    </row>
    <row r="16" spans="1:12">
      <c r="B16" t="s">
        <v>24</v>
      </c>
      <c r="C16" s="3">
        <v>279</v>
      </c>
      <c r="D16" s="4">
        <v>56.5</v>
      </c>
      <c r="E16" s="3">
        <v>415</v>
      </c>
      <c r="F16" s="4">
        <v>84.2</v>
      </c>
      <c r="G16" s="3">
        <v>190</v>
      </c>
      <c r="H16" s="4">
        <v>40.6</v>
      </c>
      <c r="I16" s="3">
        <v>300</v>
      </c>
      <c r="J16" s="4">
        <v>63.7</v>
      </c>
      <c r="K16" s="3">
        <f>C16+E16+G16+I16</f>
        <v>1184</v>
      </c>
      <c r="L16" s="4">
        <f>D16+F16+H16+J16</f>
        <v>245.0</v>
      </c>
    </row>
    <row r="17" spans="1:12">
      <c r="B17" t="s">
        <v>25</v>
      </c>
      <c r="C17" s="3">
        <v>244</v>
      </c>
      <c r="D17" s="4">
        <v>72</v>
      </c>
      <c r="E17" s="3">
        <v>404</v>
      </c>
      <c r="F17" s="4">
        <v>120.6</v>
      </c>
      <c r="G17" s="3">
        <v>265</v>
      </c>
      <c r="H17" s="4">
        <v>81.3</v>
      </c>
      <c r="I17" s="3">
        <v>392</v>
      </c>
      <c r="J17" s="4">
        <v>120.3</v>
      </c>
      <c r="K17" s="3">
        <f>C17+E17+G17+I17</f>
        <v>1305</v>
      </c>
      <c r="L17" s="4">
        <f>D17+F17+H17+J17</f>
        <v>394.2</v>
      </c>
    </row>
    <row r="18" spans="1:12">
      <c r="A18" s="5" t="s">
        <v>26</v>
      </c>
      <c r="C18" s="5">
        <f>SUM(C15:C17)</f>
        <v>883</v>
      </c>
      <c r="D18" s="5">
        <f>SUM(D15:D17)</f>
        <v>231.3</v>
      </c>
      <c r="E18" s="5">
        <f>SUM(E15:E17)</f>
        <v>1209</v>
      </c>
      <c r="F18" s="5">
        <f>SUM(F15:F17)</f>
        <v>313.29999999999995</v>
      </c>
      <c r="G18" s="5">
        <f>SUM(G15:G17)</f>
        <v>736</v>
      </c>
      <c r="H18" s="5">
        <f>SUM(H15:H17)</f>
        <v>201.0</v>
      </c>
      <c r="I18" s="5">
        <f>SUM(I15:I17)</f>
        <v>895</v>
      </c>
      <c r="J18" s="5">
        <f>SUM(J15:J17)</f>
        <v>241.39999999999998</v>
      </c>
      <c r="K18" s="5">
        <f>SUM(K15:K17)</f>
        <v>3723</v>
      </c>
      <c r="L18" s="5">
        <f>SUM(L15:L17)</f>
        <v>987.0</v>
      </c>
    </row>
    <row r="19" spans="1:12">
      <c r="A19" s="6" t="s">
        <v>27</v>
      </c>
      <c r="C19" s="6">
        <f>C9+C14+C18</f>
        <v>3044</v>
      </c>
      <c r="D19" s="6">
        <f>D9+D14+D18</f>
        <v>758.9000000000001</v>
      </c>
      <c r="E19" s="6">
        <f>E9+E14+E18</f>
        <v>2898</v>
      </c>
      <c r="F19" s="6">
        <f>F9+F14+F18</f>
        <v>735.5</v>
      </c>
      <c r="G19" s="6">
        <f>G9+G14+G18</f>
        <v>2446</v>
      </c>
      <c r="H19" s="6">
        <f>H9+H14+H18</f>
        <v>597.9</v>
      </c>
      <c r="I19" s="6">
        <f>I9+I14+I18</f>
        <v>3263</v>
      </c>
      <c r="J19" s="6">
        <f>J9+J14+J18</f>
        <v>809.3</v>
      </c>
      <c r="K19" s="6">
        <f>K9+K14+K18</f>
        <v>11651</v>
      </c>
      <c r="L19" s="6">
        <f>L9+L14+L18</f>
        <v>2901.6</v>
      </c>
    </row>
    <row r="21" spans="1:12">
      <c r="A21" s="2" t="s">
        <v>1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</row>
    <row r="22" spans="1:12">
      <c r="A22" t="s">
        <v>10</v>
      </c>
      <c r="B22" s="3">
        <v>21</v>
      </c>
      <c r="C22" s="3">
        <v>28</v>
      </c>
      <c r="D22" s="3">
        <v>16</v>
      </c>
      <c r="E22" s="3">
        <v>28</v>
      </c>
      <c r="F22" s="3">
        <f>SUM(B22:E22)</f>
        <v>93</v>
      </c>
    </row>
    <row r="23" spans="1:12">
      <c r="A23" t="s">
        <v>16</v>
      </c>
      <c r="B23" s="3">
        <v>38</v>
      </c>
      <c r="C23" s="3">
        <v>24</v>
      </c>
      <c r="D23" s="3">
        <v>18</v>
      </c>
      <c r="E23" s="3">
        <v>11</v>
      </c>
      <c r="F23" s="3">
        <f>SUM(B23:E23)</f>
        <v>91</v>
      </c>
    </row>
    <row r="24" spans="1:12">
      <c r="A24" t="s">
        <v>22</v>
      </c>
      <c r="B24" s="3">
        <v>31</v>
      </c>
      <c r="C24" s="3">
        <v>25</v>
      </c>
      <c r="D24" s="3">
        <v>12</v>
      </c>
      <c r="E24" s="3">
        <v>34</v>
      </c>
      <c r="F24" s="3">
        <f>SUM(B24:E24)</f>
        <v>102</v>
      </c>
    </row>
    <row r="25" spans="1:12">
      <c r="A25" s="6" t="s">
        <v>33</v>
      </c>
      <c r="B25" s="6">
        <f>SUM(B22:B24)</f>
        <v>90</v>
      </c>
      <c r="C25" s="6">
        <f>SUM(C22:C24)</f>
        <v>77</v>
      </c>
      <c r="D25" s="6">
        <f>SUM(D22:D24)</f>
        <v>46</v>
      </c>
      <c r="E25" s="6">
        <f>SUM(E22:E24)</f>
        <v>73</v>
      </c>
      <c r="F25" s="6">
        <f>SUM(F22:F24)</f>
        <v>286</v>
      </c>
    </row>
    <row r="27" spans="1:12">
      <c r="A27" s="7" t="s">
        <v>34</v>
      </c>
    </row>
  </sheetData>
  <mergeCells count="8">
    <mergeCell ref="A1:L1"/>
    <mergeCell ref="A3:A4"/>
    <mergeCell ref="B3:B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2.7109375" customWidth="1"/>
  </cols>
  <sheetData>
    <row r="1" spans="1:15">
      <c r="A1" s="2" t="s">
        <v>35</v>
      </c>
      <c r="B1" s="2" t="s">
        <v>36</v>
      </c>
      <c r="C1" s="8">
        <v>45658</v>
      </c>
      <c r="D1" s="8">
        <v>45689</v>
      </c>
      <c r="E1" s="8">
        <v>45717</v>
      </c>
      <c r="F1" s="8">
        <v>45748</v>
      </c>
      <c r="G1" s="8">
        <v>45778</v>
      </c>
      <c r="H1" s="8">
        <v>45809</v>
      </c>
      <c r="I1" s="8">
        <v>45839</v>
      </c>
      <c r="J1" s="8">
        <v>45870</v>
      </c>
      <c r="K1" s="8">
        <v>45901</v>
      </c>
      <c r="L1" s="8">
        <v>45931</v>
      </c>
      <c r="M1" s="8">
        <v>45962</v>
      </c>
      <c r="N1" s="8">
        <v>45992</v>
      </c>
      <c r="O1" s="2" t="s">
        <v>33</v>
      </c>
    </row>
    <row r="2" spans="1:15">
      <c r="A2" t="s">
        <v>37</v>
      </c>
      <c r="B2" t="s">
        <v>38</v>
      </c>
      <c r="C2" s="3">
        <v>62</v>
      </c>
      <c r="D2" s="3">
        <v>59</v>
      </c>
      <c r="E2" s="3">
        <v>98</v>
      </c>
      <c r="F2" s="3">
        <v>43</v>
      </c>
      <c r="G2" s="3">
        <v>98</v>
      </c>
      <c r="H2" s="3">
        <v>156</v>
      </c>
      <c r="I2" s="3">
        <v>218</v>
      </c>
      <c r="J2" s="3">
        <v>87</v>
      </c>
      <c r="K2" s="3">
        <v>151</v>
      </c>
      <c r="L2" s="3">
        <v>39</v>
      </c>
      <c r="M2" s="3">
        <v>101</v>
      </c>
      <c r="N2" s="3">
        <v>54</v>
      </c>
      <c r="O2" s="3">
        <f>SUM(C2:N2)</f>
        <v>1166</v>
      </c>
    </row>
    <row r="3" spans="1:15">
      <c r="A3" t="s">
        <v>39</v>
      </c>
      <c r="B3" t="s">
        <v>40</v>
      </c>
      <c r="C3" s="3">
        <v>46</v>
      </c>
      <c r="D3" s="3">
        <v>69</v>
      </c>
      <c r="E3" s="3">
        <v>56</v>
      </c>
      <c r="F3" s="3">
        <v>145</v>
      </c>
      <c r="G3" s="3">
        <v>112</v>
      </c>
      <c r="H3" s="3">
        <v>105</v>
      </c>
      <c r="I3" s="3">
        <v>71</v>
      </c>
      <c r="J3" s="3">
        <v>80</v>
      </c>
      <c r="K3" s="3">
        <v>135</v>
      </c>
      <c r="L3" s="3">
        <v>119</v>
      </c>
      <c r="M3" s="3">
        <v>82</v>
      </c>
      <c r="N3" s="3">
        <v>205</v>
      </c>
      <c r="O3" s="3">
        <f>SUM(C3:N3)</f>
        <v>1225</v>
      </c>
    </row>
    <row r="4" spans="1:15">
      <c r="A4" t="s">
        <v>41</v>
      </c>
      <c r="B4" t="s">
        <v>42</v>
      </c>
      <c r="C4" s="3">
        <v>74</v>
      </c>
      <c r="D4" s="3">
        <v>31</v>
      </c>
      <c r="E4" s="3">
        <v>72</v>
      </c>
      <c r="F4" s="3">
        <v>112</v>
      </c>
      <c r="G4" s="3">
        <v>164</v>
      </c>
      <c r="H4" s="3">
        <v>190</v>
      </c>
      <c r="I4" s="3">
        <v>158</v>
      </c>
      <c r="J4" s="3">
        <v>188</v>
      </c>
      <c r="K4" s="3">
        <v>78</v>
      </c>
      <c r="L4" s="3">
        <v>61</v>
      </c>
      <c r="M4" s="3">
        <v>59</v>
      </c>
      <c r="N4" s="3">
        <v>198</v>
      </c>
      <c r="O4" s="3">
        <f>SUM(C4:N4)</f>
        <v>1385</v>
      </c>
    </row>
    <row r="5" spans="1:15">
      <c r="A5" t="s">
        <v>43</v>
      </c>
      <c r="B5" t="s">
        <v>44</v>
      </c>
      <c r="C5" s="3">
        <v>55</v>
      </c>
      <c r="D5" s="3">
        <v>31</v>
      </c>
      <c r="E5" s="3">
        <v>99</v>
      </c>
      <c r="F5" s="3">
        <v>151</v>
      </c>
      <c r="G5" s="3">
        <v>109</v>
      </c>
      <c r="H5" s="3">
        <v>201</v>
      </c>
      <c r="I5" s="3">
        <v>81</v>
      </c>
      <c r="J5" s="3">
        <v>120</v>
      </c>
      <c r="K5" s="3">
        <v>71</v>
      </c>
      <c r="L5" s="3">
        <v>79</v>
      </c>
      <c r="M5" s="3">
        <v>49</v>
      </c>
      <c r="N5" s="3">
        <v>65</v>
      </c>
      <c r="O5" s="3">
        <f>SUM(C5:N5)</f>
        <v>1111</v>
      </c>
    </row>
    <row r="6" spans="1:15">
      <c r="A6" t="s">
        <v>45</v>
      </c>
      <c r="B6" t="s">
        <v>46</v>
      </c>
      <c r="C6" s="3">
        <v>79</v>
      </c>
      <c r="D6" s="3">
        <v>87</v>
      </c>
      <c r="E6" s="3">
        <v>123</v>
      </c>
      <c r="F6" s="3">
        <v>152</v>
      </c>
      <c r="G6" s="3">
        <v>171</v>
      </c>
      <c r="H6" s="3">
        <v>168</v>
      </c>
      <c r="I6" s="3">
        <v>194</v>
      </c>
      <c r="J6" s="3">
        <v>126</v>
      </c>
      <c r="K6" s="3">
        <v>139</v>
      </c>
      <c r="L6" s="3">
        <v>68</v>
      </c>
      <c r="M6" s="3">
        <v>83</v>
      </c>
      <c r="N6" s="3">
        <v>175</v>
      </c>
      <c r="O6" s="3">
        <f>SUM(C6:N6)</f>
        <v>1565</v>
      </c>
    </row>
    <row r="7" spans="1:15">
      <c r="A7" t="s">
        <v>47</v>
      </c>
      <c r="B7" t="s">
        <v>48</v>
      </c>
      <c r="C7" s="3">
        <v>50</v>
      </c>
      <c r="D7" s="3">
        <v>25</v>
      </c>
      <c r="E7" s="3">
        <v>76</v>
      </c>
      <c r="F7" s="3">
        <v>63</v>
      </c>
      <c r="G7" s="3">
        <v>56</v>
      </c>
      <c r="H7" s="3">
        <v>54</v>
      </c>
      <c r="I7" s="3">
        <v>71</v>
      </c>
      <c r="J7" s="3">
        <v>66</v>
      </c>
      <c r="K7" s="3">
        <v>48</v>
      </c>
      <c r="L7" s="3">
        <v>80</v>
      </c>
      <c r="M7" s="3">
        <v>43</v>
      </c>
      <c r="N7" s="3">
        <v>140</v>
      </c>
      <c r="O7" s="3">
        <f>SUM(C7:N7)</f>
        <v>772</v>
      </c>
    </row>
    <row r="8" spans="1:15">
      <c r="A8" t="s">
        <v>49</v>
      </c>
      <c r="B8" t="s">
        <v>50</v>
      </c>
      <c r="C8" s="3">
        <v>64</v>
      </c>
      <c r="D8" s="3">
        <v>64</v>
      </c>
      <c r="E8" s="3">
        <v>45</v>
      </c>
      <c r="F8" s="3">
        <v>116</v>
      </c>
      <c r="G8" s="3">
        <v>148</v>
      </c>
      <c r="H8" s="3">
        <v>194</v>
      </c>
      <c r="I8" s="3">
        <v>207</v>
      </c>
      <c r="J8" s="3">
        <v>127</v>
      </c>
      <c r="K8" s="3">
        <v>72</v>
      </c>
      <c r="L8" s="3">
        <v>47</v>
      </c>
      <c r="M8" s="3">
        <v>135</v>
      </c>
      <c r="N8" s="3">
        <v>144</v>
      </c>
      <c r="O8" s="3">
        <f>SUM(C8:N8)</f>
        <v>1363</v>
      </c>
    </row>
    <row r="9" spans="1:15">
      <c r="A9" t="s">
        <v>51</v>
      </c>
      <c r="B9" t="s">
        <v>52</v>
      </c>
      <c r="C9" s="3">
        <v>51</v>
      </c>
      <c r="D9" s="3">
        <v>44</v>
      </c>
      <c r="E9" s="3">
        <v>74</v>
      </c>
      <c r="F9" s="3">
        <v>136</v>
      </c>
      <c r="G9" s="3">
        <v>63</v>
      </c>
      <c r="H9" s="3">
        <v>132</v>
      </c>
      <c r="I9" s="3">
        <v>109</v>
      </c>
      <c r="J9" s="3">
        <v>183</v>
      </c>
      <c r="K9" s="3">
        <v>73</v>
      </c>
      <c r="L9" s="3">
        <v>127</v>
      </c>
      <c r="M9" s="3">
        <v>65</v>
      </c>
      <c r="N9" s="3">
        <v>188</v>
      </c>
      <c r="O9" s="3">
        <f>SUM(C9:N9)</f>
        <v>1245</v>
      </c>
    </row>
    <row r="10" spans="1:15">
      <c r="A10" t="s">
        <v>53</v>
      </c>
      <c r="B10" t="s">
        <v>54</v>
      </c>
      <c r="C10" s="3">
        <v>37</v>
      </c>
      <c r="D10" s="3">
        <v>86</v>
      </c>
      <c r="E10" s="3">
        <v>61</v>
      </c>
      <c r="F10" s="3">
        <v>97</v>
      </c>
      <c r="G10" s="3">
        <v>180</v>
      </c>
      <c r="H10" s="3">
        <v>81</v>
      </c>
      <c r="I10" s="3">
        <v>114</v>
      </c>
      <c r="J10" s="3">
        <v>66</v>
      </c>
      <c r="K10" s="3">
        <v>108</v>
      </c>
      <c r="L10" s="3">
        <v>70</v>
      </c>
      <c r="M10" s="3">
        <v>88</v>
      </c>
      <c r="N10" s="3">
        <v>81</v>
      </c>
      <c r="O10" s="3">
        <f>SUM(C10:N10)</f>
        <v>1069</v>
      </c>
    </row>
    <row r="11" spans="1:15">
      <c r="A11" t="s">
        <v>55</v>
      </c>
      <c r="B11" t="s">
        <v>56</v>
      </c>
      <c r="C11" s="3">
        <v>75</v>
      </c>
      <c r="D11" s="3">
        <v>43</v>
      </c>
      <c r="E11" s="3">
        <v>84</v>
      </c>
      <c r="F11" s="3">
        <v>135</v>
      </c>
      <c r="G11" s="3">
        <v>62</v>
      </c>
      <c r="H11" s="3">
        <v>179</v>
      </c>
      <c r="I11" s="3">
        <v>98</v>
      </c>
      <c r="J11" s="3">
        <v>196</v>
      </c>
      <c r="K11" s="3">
        <v>97</v>
      </c>
      <c r="L11" s="3">
        <v>104</v>
      </c>
      <c r="M11" s="3">
        <v>36</v>
      </c>
      <c r="N11" s="3">
        <v>179</v>
      </c>
      <c r="O11" s="3">
        <f>SUM(C11:N11)</f>
        <v>1288</v>
      </c>
    </row>
    <row r="12" spans="1:15">
      <c r="A12" s="6" t="s">
        <v>27</v>
      </c>
      <c r="C12" s="6">
        <f>SUM(C2:C11)</f>
        <v>593</v>
      </c>
      <c r="D12" s="6">
        <f>SUM(D2:D11)</f>
        <v>539</v>
      </c>
      <c r="E12" s="6">
        <f>SUM(E2:E11)</f>
        <v>788</v>
      </c>
      <c r="F12" s="6">
        <f>SUM(F2:F11)</f>
        <v>1150</v>
      </c>
      <c r="G12" s="6">
        <f>SUM(G2:G11)</f>
        <v>1163</v>
      </c>
      <c r="H12" s="6">
        <f>SUM(H2:H11)</f>
        <v>1460</v>
      </c>
      <c r="I12" s="6">
        <f>SUM(I2:I11)</f>
        <v>1321</v>
      </c>
      <c r="J12" s="6">
        <f>SUM(J2:J11)</f>
        <v>1239</v>
      </c>
      <c r="K12" s="6">
        <f>SUM(K2:K11)</f>
        <v>972</v>
      </c>
      <c r="L12" s="6">
        <f>SUM(L2:L11)</f>
        <v>794</v>
      </c>
      <c r="M12" s="6">
        <f>SUM(M2:M11)</f>
        <v>741</v>
      </c>
      <c r="N12" s="6">
        <f>SUM(N2:N11)</f>
        <v>1429</v>
      </c>
      <c r="O12" s="6">
        <f>SUM(O2:O11)</f>
        <v>12189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Sales</vt:lpstr>
      <vt:lpstr>Monthly Units</vt:lpstr>
    </vt:vector>
  </TitlesOfParts>
  <Company>Kestrel Outdoor Gear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Sales FY2025</dc:title>
  <dc:creator>Tom Lindqvist</dc:creator>
  <dc:description>Synthetic fixture for spreadsheet-brain evals. All names are fictional.</dc:description>
  <cp:lastModifiedBy>Tom Lindqvist</cp:lastModifiedBy>
  <dcterms:created xsi:type="dcterms:W3CDTF">2026-02-06T11:00:00Z</dcterms:created>
  <dcterms:modified xsi:type="dcterms:W3CDTF">2026-02-06T11:00:00Z</dcterms:modified>
</cp:coreProperties>
</file>